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s" sheetId="1" state="visible" r:id="rId1"/>
    <sheet xmlns:r="http://schemas.openxmlformats.org/officeDocument/2006/relationships" name="Stats &amp; OVR" sheetId="2" state="visible" r:id="rId2"/>
    <sheet xmlns:r="http://schemas.openxmlformats.org/officeDocument/2006/relationships" name="Card Prints" sheetId="3" state="visible" r:id="rId3"/>
    <sheet xmlns:r="http://schemas.openxmlformats.org/officeDocument/2006/relationships" name="Packs" sheetId="4" state="visible" r:id="rId4"/>
    <sheet xmlns:r="http://schemas.openxmlformats.org/officeDocument/2006/relationships" name="Référen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69B4"/>
      <sz val="12"/>
    </font>
  </fonts>
  <fills count="8">
    <fill>
      <patternFill/>
    </fill>
    <fill>
      <patternFill patternType="gray125"/>
    </fill>
    <fill>
      <patternFill patternType="solid">
        <fgColor rgb="001F2433"/>
      </patternFill>
    </fill>
    <fill>
      <patternFill patternType="solid">
        <fgColor rgb="002C3E50"/>
      </patternFill>
    </fill>
    <fill>
      <patternFill patternType="solid">
        <fgColor rgb="0034495E"/>
      </patternFill>
    </fill>
    <fill>
      <patternFill patternType="solid">
        <fgColor rgb="003D2C5E"/>
      </patternFill>
    </fill>
    <fill>
      <patternFill patternType="solid">
        <fgColor rgb="004A2C3E"/>
      </patternFill>
    </fill>
    <fill>
      <patternFill patternType="solid">
        <fgColor rgb="00243B53"/>
      </patternFill>
    </fill>
  </fills>
  <borders count="2">
    <border>
      <left/>
      <right/>
      <top/>
      <bottom/>
      <diagonal/>
    </border>
    <border>
      <left style="thin">
        <color rgb="003A3F52"/>
      </left>
      <right style="thin">
        <color rgb="003A3F52"/>
      </right>
      <top style="thin">
        <color rgb="003A3F52"/>
      </top>
      <bottom style="thin">
        <color rgb="003A3F5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Hermes</author>
  </authors>
  <commentList>
    <comment ref="A1" authorId="0" shapeId="0">
      <text>
        <t>SOURCE DE VÉRITÉ. 1 ligne / joueuse. NE REMPLIR QUE cols A-P (name-&gt;bio). id/photo/refPrefix = AUTO (formules). base OVR capée 93. archetypes = PROFIL (répartit le budget de stats, ne boost PAS l'OVR). signature=oui réserve l'arme mythique (perso mis en avant). lora = ref ComfyUI (toi).</t>
      </text>
    </comment>
    <comment ref="Q1" authorId="0" shapeId="0">
      <text>
        <t>AUTO depuis name (slug, sans accents).</t>
      </text>
    </comment>
    <comment ref="R1" authorId="0" shapeId="0">
      <text>
        <t>AUTO = cards/football/(nation)/(id)/standard.png</t>
      </text>
    </comment>
  </commentList>
</comments>
</file>

<file path=xl/comments/comment2.xml><?xml version="1.0" encoding="utf-8"?>
<comments xmlns="http://schemas.openxmlformats.org/spreadsheetml/2006/main">
  <authors>
    <author>Hermes</author>
  </authors>
  <commentList>
    <comment ref="A1" authorId="0" shapeId="0">
      <text>
        <t>Grille par perso. OUT (F..AA) = 22 stats pour joueuses de champ. GK BLOCK (AE..AZ) = 22 stats pour gardiennes. Remplir UNE seule grille selon le poste. BASE (E) AUTO. OVR = BASE x frac + jitter au pull (pas dans l'Excel).</t>
      </text>
    </comment>
  </commentList>
</comments>
</file>

<file path=xl/comments/comment3.xml><?xml version="1.0" encoding="utf-8"?>
<comments xmlns="http://schemas.openxmlformats.org/spreadsheetml/2006/main">
  <authors>
    <author>Hermes</author>
  </authors>
  <commentList>
    <comment ref="A1" authorId="0" shapeId="0">
      <text>
        <t>1 ligne / (perso × rareté). Auto depuis Characters. mintCap leg=1000/secret=100. skillslots 0/1/2/3/4.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1" customWidth="1" min="3" max="3"/>
    <col width="14" customWidth="1" min="4" max="4"/>
    <col width="16" customWidth="1" min="5" max="5"/>
    <col width="15" customWidth="1" min="6" max="6"/>
    <col width="15" customWidth="1" min="7" max="7"/>
    <col width="30" customWidth="1" min="8" max="8"/>
    <col width="11" customWidth="1" min="9" max="9"/>
    <col width="13" customWidth="1" min="10" max="10"/>
    <col width="8" customWidth="1" min="11" max="11"/>
    <col width="10" customWidth="1" min="12" max="12"/>
    <col width="10" customWidth="1" min="13" max="13"/>
    <col width="14" customWidth="1" min="14" max="14"/>
    <col width="18" customWidth="1" min="15" max="15"/>
    <col width="38" customWidth="1" min="16" max="16"/>
    <col width="22" customWidth="1" min="17" max="17"/>
    <col width="42" customWidth="1" min="18" max="18"/>
    <col width="13" customWidth="1" min="19" max="19"/>
  </cols>
  <sheetData>
    <row r="1">
      <c r="A1" s="1" t="inlineStr">
        <is>
          <t>name</t>
        </is>
      </c>
      <c r="B1" s="1" t="inlineStr">
        <is>
          <t>nickname</t>
        </is>
      </c>
      <c r="C1" s="1" t="inlineStr">
        <is>
          <t>nation</t>
        </is>
      </c>
      <c r="D1" s="1" t="inlineStr">
        <is>
          <t>posteNaturel (12)</t>
        </is>
      </c>
      <c r="E1" s="1" t="inlineStr">
        <is>
          <t>role (FM)</t>
        </is>
      </c>
      <c r="F1" s="1" t="inlineStr">
        <is>
          <t>posteSecondaire1</t>
        </is>
      </c>
      <c r="G1" s="1" t="inlineStr">
        <is>
          <t>posteSecondaire2</t>
        </is>
      </c>
      <c r="H1" s="1" t="inlineStr">
        <is>
          <t>archetypes (libre, virgules)</t>
        </is>
      </c>
      <c r="I1" s="1" t="inlineStr">
        <is>
          <t>style</t>
        </is>
      </c>
      <c r="J1" s="1" t="inlineStr">
        <is>
          <t>base OVR (1-93)</t>
        </is>
      </c>
      <c r="K1" s="1" t="inlineStr">
        <is>
          <t>pied</t>
        </is>
      </c>
      <c r="L1" s="1" t="inlineStr">
        <is>
          <t>taille (cm)</t>
        </is>
      </c>
      <c r="M1" s="1" t="inlineStr">
        <is>
          <t>poids (kg)</t>
        </is>
      </c>
      <c r="N1" s="1" t="inlineStr">
        <is>
          <t>signature (oui/non)</t>
        </is>
      </c>
      <c r="O1" s="1" t="inlineStr">
        <is>
          <t>lora (ref ComfyUI)</t>
        </is>
      </c>
      <c r="P1" s="1" t="inlineStr">
        <is>
          <t>bio / lore</t>
        </is>
      </c>
      <c r="Q1" s="1" t="inlineStr">
        <is>
          <t>id (AUTO)</t>
        </is>
      </c>
      <c r="R1" s="1" t="inlineStr">
        <is>
          <t>photo (AUTO)</t>
        </is>
      </c>
      <c r="S1" s="1" t="inlineStr">
        <is>
          <t>refPrefix (AUTO)</t>
        </is>
      </c>
    </row>
    <row r="2">
      <c r="A2" t="inlineStr">
        <is>
          <t>Soledad Diaz</t>
        </is>
      </c>
      <c r="B2" t="inlineStr">
        <is>
          <t>Sol</t>
        </is>
      </c>
      <c r="C2" t="inlineStr">
        <is>
          <t>argentine</t>
        </is>
      </c>
      <c r="D2" t="inlineStr">
        <is>
          <t>ST</t>
        </is>
      </c>
      <c r="E2" t="inlineStr">
        <is>
          <t>second_striker</t>
        </is>
      </c>
      <c r="F2" t="inlineStr">
        <is>
          <t>CAM</t>
        </is>
      </c>
      <c r="G2" t="inlineStr">
        <is>
          <t>LW</t>
        </is>
      </c>
      <c r="H2" t="inlineStr">
        <is>
          <t>phenomene,creatif,vision</t>
        </is>
      </c>
      <c r="I2" t="inlineStr">
        <is>
          <t>vista</t>
        </is>
      </c>
      <c r="J2" t="n">
        <v>93</v>
      </c>
      <c r="K2" t="inlineStr">
        <is>
          <t>both</t>
        </is>
      </c>
      <c r="L2" t="n">
        <v>174</v>
      </c>
      <c r="M2" t="n">
        <v>68</v>
      </c>
      <c r="N2" t="inlineStr">
        <is>
          <t>oui</t>
        </is>
      </c>
      <c r="O2" t="inlineStr">
        <is>
          <t>soledad_diaz_v1</t>
        </is>
      </c>
      <c r="P2" t="inlineStr">
        <is>
          <t>Capitaine de l Albiceleste. Pivot de reference.</t>
        </is>
      </c>
      <c r="Q2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2">
        <f>IF(A2&lt;&gt;"","cards/football/"&amp;C2/"&amp;Q2/standard.png","")</f>
        <v/>
      </c>
      <c r="S2">
        <f>IF(C2&lt;&gt;"",VLOOKUP(C2,Références!$A$2:$B$9,2,FALSE),"")</f>
        <v/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3">
        <f>IF(A3&lt;&gt;"","cards/football/"&amp;C3/"&amp;Q3/standard.png","")</f>
        <v/>
      </c>
      <c r="S3">
        <f>IF(C3&lt;&gt;"",VLOOKUP(C3,Références!$A$2:$B$9,2,FALSE),"")</f>
        <v/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4">
        <f>IF(A4&lt;&gt;"","cards/football/"&amp;C4/"&amp;Q4/standard.png","")</f>
        <v/>
      </c>
      <c r="S4">
        <f>IF(C4&lt;&gt;"",VLOOKUP(C4,Références!$A$2:$B$9,2,FALSE),"")</f>
        <v/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5">
        <f>IF(A5&lt;&gt;"","cards/football/"&amp;C5/"&amp;Q5/standard.png","")</f>
        <v/>
      </c>
      <c r="S5">
        <f>IF(C5&lt;&gt;"",VLOOKUP(C5,Références!$A$2:$B$9,2,FALSE),"")</f>
        <v/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6">
        <f>IF(A6&lt;&gt;"","cards/football/"&amp;C6/"&amp;Q6/standard.png","")</f>
        <v/>
      </c>
      <c r="S6">
        <f>IF(C6&lt;&gt;"",VLOOKUP(C6,Références!$A$2:$B$9,2,FALSE),"")</f>
        <v/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7">
        <f>IF(A7&lt;&gt;"","cards/football/"&amp;C7/"&amp;Q7/standard.png","")</f>
        <v/>
      </c>
      <c r="S7">
        <f>IF(C7&lt;&gt;"",VLOOKUP(C7,Références!$A$2:$B$9,2,FALSE),"")</f>
        <v/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8">
        <f>IF(A8&lt;&gt;"","cards/football/"&amp;C8/"&amp;Q8/standard.png","")</f>
        <v/>
      </c>
      <c r="S8">
        <f>IF(C8&lt;&gt;"",VLOOKUP(C8,Références!$A$2:$B$9,2,FALSE),"")</f>
        <v/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9">
        <f>IF(A9&lt;&gt;"","cards/football/"&amp;C9/"&amp;Q9/standard.png","")</f>
        <v/>
      </c>
      <c r="S9">
        <f>IF(C9&lt;&gt;"",VLOOKUP(C9,Références!$A$2:$B$9,2,FALSE),"")</f>
        <v/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10)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10">
        <f>IF(A10&lt;&gt;"","cards/football/"&amp;C10/"&amp;Q10/standard.png","")</f>
        <v/>
      </c>
      <c r="S10">
        <f>IF(C10&lt;&gt;"",VLOOKUP(C10,Références!$A$2:$B$9,2,FALSE),"")</f>
        <v/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11)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11">
        <f>IF(A11&lt;&gt;"","cards/football/"&amp;C11/"&amp;Q11/standard.png","")</f>
        <v/>
      </c>
      <c r="S11">
        <f>IF(C11&lt;&gt;"",VLOOKUP(C11,Références!$A$2:$B$9,2,FALSE),"")</f>
        <v/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12)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12">
        <f>IF(A12&lt;&gt;"","cards/football/"&amp;C12/"&amp;Q12/standard.png","")</f>
        <v/>
      </c>
      <c r="S12">
        <f>IF(C12&lt;&gt;"",VLOOKUP(C12,Références!$A$2:$B$9,2,FALSE),"")</f>
        <v/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13)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13">
        <f>IF(A13&lt;&gt;"","cards/football/"&amp;C13/"&amp;Q13/standard.png","")</f>
        <v/>
      </c>
      <c r="S13">
        <f>IF(C13&lt;&gt;"",VLOOKUP(C13,Références!$A$2:$B$9,2,FALSE),"")</f>
        <v/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14)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14">
        <f>IF(A14&lt;&gt;"","cards/football/"&amp;C14/"&amp;Q14/standard.png","")</f>
        <v/>
      </c>
      <c r="S14">
        <f>IF(C14&lt;&gt;"",VLOOKUP(C14,Références!$A$2:$B$9,2,FALSE),"")</f>
        <v/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15)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15">
        <f>IF(A15&lt;&gt;"","cards/football/"&amp;C15/"&amp;Q15/standard.png","")</f>
        <v/>
      </c>
      <c r="S15">
        <f>IF(C15&lt;&gt;"",VLOOKUP(C15,Références!$A$2:$B$9,2,FALSE),"")</f>
        <v/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16)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16">
        <f>IF(A16&lt;&gt;"","cards/football/"&amp;C16/"&amp;Q16/standard.png","")</f>
        <v/>
      </c>
      <c r="S16">
        <f>IF(C16&lt;&gt;"",VLOOKUP(C16,Références!$A$2:$B$9,2,FALSE),"")</f>
        <v/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17)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17">
        <f>IF(A17&lt;&gt;"","cards/football/"&amp;C17/"&amp;Q17/standard.png","")</f>
        <v/>
      </c>
      <c r="S17">
        <f>IF(C17&lt;&gt;"",VLOOKUP(C17,Références!$A$2:$B$9,2,FALSE),"")</f>
        <v/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18)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18">
        <f>IF(A18&lt;&gt;"","cards/football/"&amp;C18/"&amp;Q18/standard.png","")</f>
        <v/>
      </c>
      <c r="S18">
        <f>IF(C18&lt;&gt;"",VLOOKUP(C18,Références!$A$2:$B$9,2,FALSE),"")</f>
        <v/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19)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19">
        <f>IF(A19&lt;&gt;"","cards/football/"&amp;C19/"&amp;Q19/standard.png","")</f>
        <v/>
      </c>
      <c r="S19">
        <f>IF(C19&lt;&gt;"",VLOOKUP(C19,Références!$A$2:$B$9,2,FALSE),"")</f>
        <v/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20)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20">
        <f>IF(A20&lt;&gt;"","cards/football/"&amp;C20/"&amp;Q20/standard.png","")</f>
        <v/>
      </c>
      <c r="S20">
        <f>IF(C20&lt;&gt;"",VLOOKUP(C20,Références!$A$2:$B$9,2,FALSE),"")</f>
        <v/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21)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21">
        <f>IF(A21&lt;&gt;"","cards/football/"&amp;C21/"&amp;Q21/standard.png","")</f>
        <v/>
      </c>
      <c r="S21">
        <f>IF(C21&lt;&gt;"",VLOOKUP(C21,Références!$A$2:$B$9,2,FALSE),"")</f>
        <v/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22)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22">
        <f>IF(A22&lt;&gt;"","cards/football/"&amp;C22/"&amp;Q22/standard.png","")</f>
        <v/>
      </c>
      <c r="S22">
        <f>IF(C22&lt;&gt;"",VLOOKUP(C22,Références!$A$2:$B$9,2,FALSE),"")</f>
        <v/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23)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23">
        <f>IF(A23&lt;&gt;"","cards/football/"&amp;C23/"&amp;Q23/standard.png","")</f>
        <v/>
      </c>
      <c r="S23">
        <f>IF(C23&lt;&gt;"",VLOOKUP(C23,Références!$A$2:$B$9,2,FALSE),"")</f>
        <v/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24)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24">
        <f>IF(A24&lt;&gt;"","cards/football/"&amp;C24/"&amp;Q24/standard.png","")</f>
        <v/>
      </c>
      <c r="S24">
        <f>IF(C24&lt;&gt;"",VLOOKUP(C24,Références!$A$2:$B$9,2,FALSE),"")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25)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25">
        <f>IF(A25&lt;&gt;"","cards/football/"&amp;C25/"&amp;Q25/standard.png","")</f>
        <v/>
      </c>
      <c r="S25">
        <f>IF(C25&lt;&gt;"",VLOOKUP(C25,Références!$A$2:$B$9,2,FALSE),"")</f>
        <v/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26)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26">
        <f>IF(A26&lt;&gt;"","cards/football/"&amp;C26/"&amp;Q26/standard.png","")</f>
        <v/>
      </c>
      <c r="S26">
        <f>IF(C26&lt;&gt;"",VLOOKUP(C26,Références!$A$2:$B$9,2,FALSE),"")</f>
        <v/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27)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27">
        <f>IF(A27&lt;&gt;"","cards/football/"&amp;C27/"&amp;Q27/standard.png","")</f>
        <v/>
      </c>
      <c r="S27">
        <f>IF(C27&lt;&gt;"",VLOOKUP(C27,Références!$A$2:$B$9,2,FALSE),"")</f>
        <v/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28)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28">
        <f>IF(A28&lt;&gt;"","cards/football/"&amp;C28/"&amp;Q28/standard.png","")</f>
        <v/>
      </c>
      <c r="S28">
        <f>IF(C28&lt;&gt;"",VLOOKUP(C28,Références!$A$2:$B$9,2,FALSE),"")</f>
        <v/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29)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29">
        <f>IF(A29&lt;&gt;"","cards/football/"&amp;C29/"&amp;Q29/standard.png","")</f>
        <v/>
      </c>
      <c r="S29">
        <f>IF(C29&lt;&gt;"",VLOOKUP(C29,Références!$A$2:$B$9,2,FALSE),"")</f>
        <v/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30)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30">
        <f>IF(A30&lt;&gt;"","cards/football/"&amp;C30/"&amp;Q30/standard.png","")</f>
        <v/>
      </c>
      <c r="S30">
        <f>IF(C30&lt;&gt;"",VLOOKUP(C30,Références!$A$2:$B$9,2,FALSE),"")</f>
        <v/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31)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31">
        <f>IF(A31&lt;&gt;"","cards/football/"&amp;C31/"&amp;Q31/standard.png","")</f>
        <v/>
      </c>
      <c r="S31">
        <f>IF(C31&lt;&gt;"",VLOOKUP(C31,Références!$A$2:$B$9,2,FALSE),"")</f>
        <v/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32)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32">
        <f>IF(A32&lt;&gt;"","cards/football/"&amp;C32/"&amp;Q32/standard.png","")</f>
        <v/>
      </c>
      <c r="S32">
        <f>IF(C32&lt;&gt;"",VLOOKUP(C32,Références!$A$2:$B$9,2,FALSE),"")</f>
        <v/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33)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33">
        <f>IF(A33&lt;&gt;"","cards/football/"&amp;C33/"&amp;Q33/standard.png","")</f>
        <v/>
      </c>
      <c r="S33">
        <f>IF(C33&lt;&gt;"",VLOOKUP(C33,Références!$A$2:$B$9,2,FALSE),"")</f>
        <v/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34)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34">
        <f>IF(A34&lt;&gt;"","cards/football/"&amp;C34/"&amp;Q34/standard.png","")</f>
        <v/>
      </c>
      <c r="S34">
        <f>IF(C34&lt;&gt;"",VLOOKUP(C34,Références!$A$2:$B$9,2,FALSE),"")</f>
        <v/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35)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35">
        <f>IF(A35&lt;&gt;"","cards/football/"&amp;C35/"&amp;Q35/standard.png","")</f>
        <v/>
      </c>
      <c r="S35">
        <f>IF(C35&lt;&gt;"",VLOOKUP(C35,Références!$A$2:$B$9,2,FALSE),"")</f>
        <v/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36)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36">
        <f>IF(A36&lt;&gt;"","cards/football/"&amp;C36/"&amp;Q36/standard.png","")</f>
        <v/>
      </c>
      <c r="S36">
        <f>IF(C36&lt;&gt;"",VLOOKUP(C36,Références!$A$2:$B$9,2,FALSE),"")</f>
        <v/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37)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37">
        <f>IF(A37&lt;&gt;"","cards/football/"&amp;C37/"&amp;Q37/standard.png","")</f>
        <v/>
      </c>
      <c r="S37">
        <f>IF(C37&lt;&gt;"",VLOOKUP(C37,Références!$A$2:$B$9,2,FALSE),"")</f>
        <v/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38)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38">
        <f>IF(A38&lt;&gt;"","cards/football/"&amp;C38/"&amp;Q38/standard.png","")</f>
        <v/>
      </c>
      <c r="S38">
        <f>IF(C38&lt;&gt;"",VLOOKUP(C38,Références!$A$2:$B$9,2,FALSE),"")</f>
        <v/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39)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39">
        <f>IF(A39&lt;&gt;"","cards/football/"&amp;C39/"&amp;Q39/standard.png","")</f>
        <v/>
      </c>
      <c r="S39">
        <f>IF(C39&lt;&gt;"",VLOOKUP(C39,Références!$A$2:$B$9,2,FALSE),"")</f>
        <v/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40)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40">
        <f>IF(A40&lt;&gt;"","cards/football/"&amp;C40/"&amp;Q40/standard.png","")</f>
        <v/>
      </c>
      <c r="S40">
        <f>IF(C40&lt;&gt;"",VLOOKUP(C40,Références!$A$2:$B$9,2,FALSE),"")</f>
        <v/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41)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41">
        <f>IF(A41&lt;&gt;"","cards/football/"&amp;C41/"&amp;Q41/standard.png","")</f>
        <v/>
      </c>
      <c r="S41">
        <f>IF(C41&lt;&gt;"",VLOOKUP(C41,Références!$A$2:$B$9,2,FALSE),"")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42)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42">
        <f>IF(A42&lt;&gt;"","cards/football/"&amp;C42/"&amp;Q42/standard.png","")</f>
        <v/>
      </c>
      <c r="S42">
        <f>IF(C42&lt;&gt;"",VLOOKUP(C42,Références!$A$2:$B$9,2,FALSE),"")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43)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43">
        <f>IF(A43&lt;&gt;"","cards/football/"&amp;C43/"&amp;Q43/standard.png","")</f>
        <v/>
      </c>
      <c r="S43">
        <f>IF(C43&lt;&gt;"",VLOOKUP(C43,Références!$A$2:$B$9,2,FALSE),"")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44)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44">
        <f>IF(A44&lt;&gt;"","cards/football/"&amp;C44/"&amp;Q44/standard.png","")</f>
        <v/>
      </c>
      <c r="S44">
        <f>IF(C44&lt;&gt;"",VLOOKUP(C44,Références!$A$2:$B$9,2,FALSE),"")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45)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45">
        <f>IF(A45&lt;&gt;"","cards/football/"&amp;C45/"&amp;Q45/standard.png","")</f>
        <v/>
      </c>
      <c r="S45">
        <f>IF(C45&lt;&gt;"",VLOOKUP(C45,Références!$A$2:$B$9,2,FALSE),"")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46)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46">
        <f>IF(A46&lt;&gt;"","cards/football/"&amp;C46/"&amp;Q46/standard.png","")</f>
        <v/>
      </c>
      <c r="S46">
        <f>IF(C46&lt;&gt;"",VLOOKUP(C46,Références!$A$2:$B$9,2,FALSE),"")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47)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47">
        <f>IF(A47&lt;&gt;"","cards/football/"&amp;C47/"&amp;Q47/standard.png","")</f>
        <v/>
      </c>
      <c r="S47">
        <f>IF(C47&lt;&gt;"",VLOOKUP(C47,Références!$A$2:$B$9,2,FALSE),"")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48)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48">
        <f>IF(A48&lt;&gt;"","cards/football/"&amp;C48/"&amp;Q48/standard.png","")</f>
        <v/>
      </c>
      <c r="S48">
        <f>IF(C48&lt;&gt;"",VLOOKUP(C48,Références!$A$2:$B$9,2,FALSE),"")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49)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49">
        <f>IF(A49&lt;&gt;"","cards/football/"&amp;C49/"&amp;Q49/standard.png","")</f>
        <v/>
      </c>
      <c r="S49">
        <f>IF(C49&lt;&gt;"",VLOOKUP(C49,Références!$A$2:$B$9,2,FALSE),"")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50)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50">
        <f>IF(A50&lt;&gt;"","cards/football/"&amp;C50/"&amp;Q50/standard.png","")</f>
        <v/>
      </c>
      <c r="S50">
        <f>IF(C50&lt;&gt;"",VLOOKUP(C50,Références!$A$2:$B$9,2,FALSE),"")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51)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51">
        <f>IF(A51&lt;&gt;"","cards/football/"&amp;C51/"&amp;Q51/standard.png","")</f>
        <v/>
      </c>
      <c r="S51">
        <f>IF(C51&lt;&gt;"",VLOOKUP(C51,Références!$A$2:$B$9,2,FALSE),"")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52)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52">
        <f>IF(A52&lt;&gt;"","cards/football/"&amp;C52/"&amp;Q52/standard.png","")</f>
        <v/>
      </c>
      <c r="S52">
        <f>IF(C52&lt;&gt;"",VLOOKUP(C52,Références!$A$2:$B$9,2,FALSE),"")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53)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53">
        <f>IF(A53&lt;&gt;"","cards/football/"&amp;C53/"&amp;Q53/standard.png","")</f>
        <v/>
      </c>
      <c r="S53">
        <f>IF(C53&lt;&gt;"",VLOOKUP(C53,Références!$A$2:$B$9,2,FALSE),"")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54)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54">
        <f>IF(A54&lt;&gt;"","cards/football/"&amp;C54/"&amp;Q54/standard.png","")</f>
        <v/>
      </c>
      <c r="S54">
        <f>IF(C54&lt;&gt;"",VLOOKUP(C54,Références!$A$2:$B$9,2,FALSE),"")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55)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55">
        <f>IF(A55&lt;&gt;"","cards/football/"&amp;C55/"&amp;Q55/standard.png","")</f>
        <v/>
      </c>
      <c r="S55">
        <f>IF(C55&lt;&gt;"",VLOOKUP(C55,Références!$A$2:$B$9,2,FALSE),"")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56)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56">
        <f>IF(A56&lt;&gt;"","cards/football/"&amp;C56/"&amp;Q56/standard.png","")</f>
        <v/>
      </c>
      <c r="S56">
        <f>IF(C56&lt;&gt;"",VLOOKUP(C56,Références!$A$2:$B$9,2,FALSE),"")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57)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57">
        <f>IF(A57&lt;&gt;"","cards/football/"&amp;C57/"&amp;Q57/standard.png","")</f>
        <v/>
      </c>
      <c r="S57">
        <f>IF(C57&lt;&gt;"",VLOOKUP(C57,Références!$A$2:$B$9,2,FALSE),"")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58)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58">
        <f>IF(A58&lt;&gt;"","cards/football/"&amp;C58/"&amp;Q58/standard.png","")</f>
        <v/>
      </c>
      <c r="S58">
        <f>IF(C58&lt;&gt;"",VLOOKUP(C58,Références!$A$2:$B$9,2,FALSE),"")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59)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59">
        <f>IF(A59&lt;&gt;"","cards/football/"&amp;C59/"&amp;Q59/standard.png","")</f>
        <v/>
      </c>
      <c r="S59">
        <f>IF(C59&lt;&gt;"",VLOOKUP(C59,Références!$A$2:$B$9,2,FALSE),"")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60)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60">
        <f>IF(A60&lt;&gt;"","cards/football/"&amp;C60/"&amp;Q60/standard.png","")</f>
        <v/>
      </c>
      <c r="S60">
        <f>IF(C60&lt;&gt;"",VLOOKUP(C60,Références!$A$2:$B$9,2,FALSE),"")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61)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61">
        <f>IF(A61&lt;&gt;"","cards/football/"&amp;C61/"&amp;Q61/standard.png","")</f>
        <v/>
      </c>
      <c r="S61">
        <f>IF(C61&lt;&gt;"",VLOOKUP(C61,Références!$A$2:$B$9,2,FALSE),"")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62)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62">
        <f>IF(A62&lt;&gt;"","cards/football/"&amp;C62/"&amp;Q62/standard.png","")</f>
        <v/>
      </c>
      <c r="S62">
        <f>IF(C62&lt;&gt;"",VLOOKUP(C62,Références!$A$2:$B$9,2,FALSE),"")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63)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63">
        <f>IF(A63&lt;&gt;"","cards/football/"&amp;C63/"&amp;Q63/standard.png","")</f>
        <v/>
      </c>
      <c r="S63">
        <f>IF(C63&lt;&gt;"",VLOOKUP(C63,Références!$A$2:$B$9,2,FALSE),"")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64)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64">
        <f>IF(A64&lt;&gt;"","cards/football/"&amp;C64/"&amp;Q64/standard.png","")</f>
        <v/>
      </c>
      <c r="S64">
        <f>IF(C64&lt;&gt;"",VLOOKUP(C64,Références!$A$2:$B$9,2,FALSE),"")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65)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65">
        <f>IF(A65&lt;&gt;"","cards/football/"&amp;C65/"&amp;Q65/standard.png","")</f>
        <v/>
      </c>
      <c r="S65">
        <f>IF(C65&lt;&gt;"",VLOOKUP(C65,Références!$A$2:$B$9,2,FALSE),"")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66)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66">
        <f>IF(A66&lt;&gt;"","cards/football/"&amp;C66/"&amp;Q66/standard.png","")</f>
        <v/>
      </c>
      <c r="S66">
        <f>IF(C66&lt;&gt;"",VLOOKUP(C66,Références!$A$2:$B$9,2,FALSE),"")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67)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67">
        <f>IF(A67&lt;&gt;"","cards/football/"&amp;C67/"&amp;Q67/standard.png","")</f>
        <v/>
      </c>
      <c r="S67">
        <f>IF(C67&lt;&gt;"",VLOOKUP(C67,Références!$A$2:$B$9,2,FALSE),"")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68)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68">
        <f>IF(A68&lt;&gt;"","cards/football/"&amp;C68/"&amp;Q68/standard.png","")</f>
        <v/>
      </c>
      <c r="S68">
        <f>IF(C68&lt;&gt;"",VLOOKUP(C68,Références!$A$2:$B$9,2,FALSE),"")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69)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69">
        <f>IF(A69&lt;&gt;"","cards/football/"&amp;C69/"&amp;Q69/standard.png","")</f>
        <v/>
      </c>
      <c r="S69">
        <f>IF(C69&lt;&gt;"",VLOOKUP(C69,Références!$A$2:$B$9,2,FALSE),"")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70)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70">
        <f>IF(A70&lt;&gt;"","cards/football/"&amp;C70/"&amp;Q70/standard.png","")</f>
        <v/>
      </c>
      <c r="S70">
        <f>IF(C70&lt;&gt;"",VLOOKUP(C70,Références!$A$2:$B$9,2,FALSE),"")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71)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71">
        <f>IF(A71&lt;&gt;"","cards/football/"&amp;C71/"&amp;Q71/standard.png","")</f>
        <v/>
      </c>
      <c r="S71">
        <f>IF(C71&lt;&gt;"",VLOOKUP(C71,Références!$A$2:$B$9,2,FALSE),"")</f>
        <v/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72)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72">
        <f>IF(A72&lt;&gt;"","cards/football/"&amp;C72/"&amp;Q72/standard.png","")</f>
        <v/>
      </c>
      <c r="S72">
        <f>IF(C72&lt;&gt;"",VLOOKUP(C72,Références!$A$2:$B$9,2,FALSE),"")</f>
        <v/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73)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73">
        <f>IF(A73&lt;&gt;"","cards/football/"&amp;C73/"&amp;Q73/standard.png","")</f>
        <v/>
      </c>
      <c r="S73">
        <f>IF(C73&lt;&gt;"",VLOOKUP(C73,Références!$A$2:$B$9,2,FALSE),"")</f>
        <v/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74)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74">
        <f>IF(A74&lt;&gt;"","cards/football/"&amp;C74/"&amp;Q74/standard.png","")</f>
        <v/>
      </c>
      <c r="S74">
        <f>IF(C74&lt;&gt;"",VLOOKUP(C74,Références!$A$2:$B$9,2,FALSE),"")</f>
        <v/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75)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75">
        <f>IF(A75&lt;&gt;"","cards/football/"&amp;C75/"&amp;Q75/standard.png","")</f>
        <v/>
      </c>
      <c r="S75">
        <f>IF(C75&lt;&gt;"",VLOOKUP(C75,Références!$A$2:$B$9,2,FALSE),"")</f>
        <v/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76)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76">
        <f>IF(A76&lt;&gt;"","cards/football/"&amp;C76/"&amp;Q76/standard.png","")</f>
        <v/>
      </c>
      <c r="S76">
        <f>IF(C76&lt;&gt;"",VLOOKUP(C76,Références!$A$2:$B$9,2,FALSE),"")</f>
        <v/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77)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77">
        <f>IF(A77&lt;&gt;"","cards/football/"&amp;C77/"&amp;Q77/standard.png","")</f>
        <v/>
      </c>
      <c r="S77">
        <f>IF(C77&lt;&gt;"",VLOOKUP(C77,Références!$A$2:$B$9,2,FALSE),"")</f>
        <v/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78)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78">
        <f>IF(A78&lt;&gt;"","cards/football/"&amp;C78/"&amp;Q78/standard.png","")</f>
        <v/>
      </c>
      <c r="S78">
        <f>IF(C78&lt;&gt;"",VLOOKUP(C78,Références!$A$2:$B$9,2,FALSE),"")</f>
        <v/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79)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79">
        <f>IF(A79&lt;&gt;"","cards/football/"&amp;C79/"&amp;Q79/standard.png","")</f>
        <v/>
      </c>
      <c r="S79">
        <f>IF(C79&lt;&gt;"",VLOOKUP(C79,Références!$A$2:$B$9,2,FALSE),"")</f>
        <v/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80)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80">
        <f>IF(A80&lt;&gt;"","cards/football/"&amp;C80/"&amp;Q80/standard.png","")</f>
        <v/>
      </c>
      <c r="S80">
        <f>IF(C80&lt;&gt;"",VLOOKUP(C80,Références!$A$2:$B$9,2,FALSE),"")</f>
        <v/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81)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81">
        <f>IF(A81&lt;&gt;"","cards/football/"&amp;C81/"&amp;Q81/standard.png","")</f>
        <v/>
      </c>
      <c r="S81">
        <f>IF(C81&lt;&gt;"",VLOOKUP(C81,Références!$A$2:$B$9,2,FALSE),"")</f>
        <v/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82)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82">
        <f>IF(A82&lt;&gt;"","cards/football/"&amp;C82/"&amp;Q82/standard.png","")</f>
        <v/>
      </c>
      <c r="S82">
        <f>IF(C82&lt;&gt;"",VLOOKUP(C82,Références!$A$2:$B$9,2,FALSE),"")</f>
        <v/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83)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83">
        <f>IF(A83&lt;&gt;"","cards/football/"&amp;C83/"&amp;Q83/standard.png","")</f>
        <v/>
      </c>
      <c r="S83">
        <f>IF(C83&lt;&gt;"",VLOOKUP(C83,Références!$A$2:$B$9,2,FALSE),"")</f>
        <v/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84)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84">
        <f>IF(A84&lt;&gt;"","cards/football/"&amp;C84/"&amp;Q84/standard.png","")</f>
        <v/>
      </c>
      <c r="S84">
        <f>IF(C84&lt;&gt;"",VLOOKUP(C84,Références!$A$2:$B$9,2,FALSE),"")</f>
        <v/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85)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85">
        <f>IF(A85&lt;&gt;"","cards/football/"&amp;C85/"&amp;Q85/standard.png","")</f>
        <v/>
      </c>
      <c r="S85">
        <f>IF(C85&lt;&gt;"",VLOOKUP(C85,Références!$A$2:$B$9,2,FALSE),"")</f>
        <v/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86)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86">
        <f>IF(A86&lt;&gt;"","cards/football/"&amp;C86/"&amp;Q86/standard.png","")</f>
        <v/>
      </c>
      <c r="S86">
        <f>IF(C86&lt;&gt;"",VLOOKUP(C86,Références!$A$2:$B$9,2,FALSE),"")</f>
        <v/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87)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87">
        <f>IF(A87&lt;&gt;"","cards/football/"&amp;C87/"&amp;Q87/standard.png","")</f>
        <v/>
      </c>
      <c r="S87">
        <f>IF(C87&lt;&gt;"",VLOOKUP(C87,Références!$A$2:$B$9,2,FALSE),"")</f>
        <v/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88)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88">
        <f>IF(A88&lt;&gt;"","cards/football/"&amp;C88/"&amp;Q88/standard.png","")</f>
        <v/>
      </c>
      <c r="S88">
        <f>IF(C88&lt;&gt;"",VLOOKUP(C88,Références!$A$2:$B$9,2,FALSE),"")</f>
        <v/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89)),"á","a"),"à","a"),"â","a"),"ä","a"),"ã","a"),"é","e"),"è","e"),"ê","e"),"ë","e"),"í","i"),"ì","i"),"î","i"),"ï","i"),"ó","o"),"ò","o"),"ô","o"),"ö","o"),"õ","o"),"ú","u"),"ù","u"),"û","u"),"ü","u"),"ñ","n"),"ç","c")," ","-"),"'",""),".","")</f>
        <v/>
      </c>
      <c r="R89">
        <f>IF(A89&lt;&gt;"","cards/football/"&amp;C89/"&amp;Q89/standard.png","")</f>
        <v/>
      </c>
      <c r="S89">
        <f>IF(C89&lt;&gt;"",VLOOKUP(C89,Références!$A$2:$B$9,2,FALSE),"")</f>
        <v/>
      </c>
    </row>
  </sheetData>
  <dataValidations count="7">
    <dataValidation sqref="D2:D90" showDropDown="0" showInputMessage="0" showErrorMessage="0" allowBlank="1" type="list">
      <formula1>"GK,RB,LB,CB,CDM,CM,CAM,LM,RM,LW,RW,ST"</formula1>
    </dataValidation>
    <dataValidation sqref="E2:E90" showDropDown="0" showInputMessage="0" showErrorMessage="0" allowBlank="1" type="list">
      <formula1>"poacher,target_man,false_nine,second_striker,advanced_forward,playmaker,deep_lying_playmaker,box_to_box,ball_winning,regista,libero,sweeper_keeper,winger,wide_playmaker,inverted_wingback,fullback,ball_playing_defender"</formula1>
    </dataValidation>
    <dataValidation sqref="F2:F90" showDropDown="0" showInputMessage="0" showErrorMessage="0" allowBlank="1" type="list">
      <formula1>"GK,RB,LB,CB,CDM,CM,CAM,LM,RM,LW,RW,ST"</formula1>
    </dataValidation>
    <dataValidation sqref="G2:G90" showDropDown="0" showInputMessage="0" showErrorMessage="0" allowBlank="1" type="list">
      <formula1>"GK,RB,LB,CB,CDM,CM,CAM,LM,RM,LW,RW,ST"</formula1>
    </dataValidation>
    <dataValidation sqref="I2:I90" showDropDown="0" showInputMessage="0" showErrorMessage="0" allowBlank="1" type="list">
      <formula1>"percussion,vista,pressing,elevation,sangFroid"</formula1>
    </dataValidation>
    <dataValidation sqref="K2:K90" showDropDown="0" showInputMessage="0" showErrorMessage="0" allowBlank="1" type="list">
      <formula1>"right,left,both"</formula1>
    </dataValidation>
    <dataValidation sqref="N2:N90" showDropDown="0" showInputMessage="0" showErrorMessage="0" allowBlank="1" type="list">
      <formula1>"oui,non"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89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11" customWidth="1" min="3" max="3"/>
    <col width="12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6" customWidth="1" min="28" max="28"/>
    <col width="11" customWidth="1" min="29" max="29"/>
    <col width="14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</cols>
  <sheetData>
    <row r="1">
      <c r="A1" s="1" t="inlineStr">
        <is>
          <t>id (auto)</t>
        </is>
      </c>
      <c r="B1" s="1" t="inlineStr">
        <is>
          <t>name (auto)</t>
        </is>
      </c>
      <c r="C1" s="1" t="inlineStr">
        <is>
          <t>nation (auto)</t>
        </is>
      </c>
      <c r="D1" s="1" t="inlineStr">
        <is>
          <t>poste (auto)</t>
        </is>
      </c>
      <c r="E1" s="1" t="inlineStr">
        <is>
          <t>BASE (auto)</t>
        </is>
      </c>
      <c r="F1" s="2" t="inlineStr">
        <is>
          <t>Vitesse</t>
        </is>
      </c>
      <c r="G1" s="2" t="inlineStr">
        <is>
          <t>Accélération</t>
        </is>
      </c>
      <c r="H1" s="2" t="inlineStr">
        <is>
          <t>Endurance</t>
        </is>
      </c>
      <c r="I1" s="2" t="inlineStr">
        <is>
          <t>Puissance</t>
        </is>
      </c>
      <c r="J1" s="2" t="inlineStr">
        <is>
          <t>Agilité</t>
        </is>
      </c>
      <c r="K1" s="2" t="inlineStr">
        <is>
          <t>Détente</t>
        </is>
      </c>
      <c r="L1" s="3" t="inlineStr">
        <is>
          <t>Anticipation</t>
        </is>
      </c>
      <c r="M1" s="3" t="inlineStr">
        <is>
          <t>SangFroid</t>
        </is>
      </c>
      <c r="N1" s="3" t="inlineStr">
        <is>
          <t>Leadership</t>
        </is>
      </c>
      <c r="O1" s="3" t="inlineStr">
        <is>
          <t>Positionnement</t>
        </is>
      </c>
      <c r="P1" s="3" t="inlineStr">
        <is>
          <t>Agressivité</t>
        </is>
      </c>
      <c r="Q1" s="3" t="inlineStr">
        <is>
          <t>Décision</t>
        </is>
      </c>
      <c r="R1" s="4" t="inlineStr">
        <is>
          <t>Passe</t>
        </is>
      </c>
      <c r="S1" s="4" t="inlineStr">
        <is>
          <t>Tir</t>
        </is>
      </c>
      <c r="T1" s="4" t="inlineStr">
        <is>
          <t>Dribble</t>
        </is>
      </c>
      <c r="U1" s="4" t="inlineStr">
        <is>
          <t>Centre</t>
        </is>
      </c>
      <c r="V1" s="4" t="inlineStr">
        <is>
          <t>Tacle</t>
        </is>
      </c>
      <c r="W1" s="4" t="inlineStr">
        <is>
          <t>Technique</t>
        </is>
      </c>
      <c r="X1" s="5" t="inlineStr">
        <is>
          <t>CF</t>
        </is>
      </c>
      <c r="Y1" s="5" t="inlineStr">
        <is>
          <t>Corners</t>
        </is>
      </c>
      <c r="Z1" s="5" t="inlineStr">
        <is>
          <t>Penalty</t>
        </is>
      </c>
      <c r="AA1" s="5" t="inlineStr">
        <is>
          <t>LongThrows</t>
        </is>
      </c>
      <c r="AB1" s="1" t="inlineStr">
        <is>
          <t>OVR (calc pull)</t>
        </is>
      </c>
      <c r="AC1" s="1" t="inlineStr">
        <is>
          <t>Tier (auto)</t>
        </is>
      </c>
      <c r="AD1" s="1" t="inlineStr">
        <is>
          <t>— GK BLOCK —</t>
        </is>
      </c>
      <c r="AE1" s="2" t="inlineStr">
        <is>
          <t>Vitesse</t>
        </is>
      </c>
      <c r="AF1" s="2" t="inlineStr">
        <is>
          <t>Accélération</t>
        </is>
      </c>
      <c r="AG1" s="2" t="inlineStr">
        <is>
          <t>Endurance</t>
        </is>
      </c>
      <c r="AH1" s="2" t="inlineStr">
        <is>
          <t>Puissance</t>
        </is>
      </c>
      <c r="AI1" s="2" t="inlineStr">
        <is>
          <t>Agilité</t>
        </is>
      </c>
      <c r="AJ1" s="2" t="inlineStr">
        <is>
          <t>Détente</t>
        </is>
      </c>
      <c r="AK1" s="3" t="inlineStr">
        <is>
          <t>Anticipation</t>
        </is>
      </c>
      <c r="AL1" s="3" t="inlineStr">
        <is>
          <t>SangFroid</t>
        </is>
      </c>
      <c r="AM1" s="3" t="inlineStr">
        <is>
          <t>Leadership</t>
        </is>
      </c>
      <c r="AN1" s="3" t="inlineStr">
        <is>
          <t>Positionnement</t>
        </is>
      </c>
      <c r="AO1" s="3" t="inlineStr">
        <is>
          <t>Agressivité</t>
        </is>
      </c>
      <c r="AP1" s="3" t="inlineStr">
        <is>
          <t>Décision</t>
        </is>
      </c>
      <c r="AQ1" s="6" t="inlineStr">
        <is>
          <t>Réflexes</t>
        </is>
      </c>
      <c r="AR1" s="6" t="inlineStr">
        <is>
          <t>Handling</t>
        </is>
      </c>
      <c r="AS1" s="6" t="inlineStr">
        <is>
          <t>AerialReach</t>
        </is>
      </c>
      <c r="AT1" s="6" t="inlineStr">
        <is>
          <t>CommandArea</t>
        </is>
      </c>
      <c r="AU1" s="6" t="inlineStr">
        <is>
          <t>Kicking</t>
        </is>
      </c>
      <c r="AV1" s="6" t="inlineStr">
        <is>
          <t>RushingOut</t>
        </is>
      </c>
      <c r="AW1" s="5" t="inlineStr">
        <is>
          <t>CF</t>
        </is>
      </c>
      <c r="AX1" s="5" t="inlineStr">
        <is>
          <t>Corners</t>
        </is>
      </c>
      <c r="AY1" s="5" t="inlineStr">
        <is>
          <t>Penalty</t>
        </is>
      </c>
      <c r="AZ1" s="5" t="inlineStr">
        <is>
          <t>LongThrows</t>
        </is>
      </c>
    </row>
    <row r="2">
      <c r="A2">
        <f>Characters!Q2</f>
        <v/>
      </c>
      <c r="B2">
        <f>Characters!A2</f>
        <v/>
      </c>
      <c r="C2">
        <f>Characters!C2</f>
        <v/>
      </c>
      <c r="D2">
        <f>Characters!D2</f>
        <v/>
      </c>
      <c r="E2">
        <f>Characters!J2</f>
        <v/>
      </c>
      <c r="AB2" t="inlineStr">
        <is>
          <t>OVR=BASE x frac+jitter au pull</t>
        </is>
      </c>
      <c r="AC2">
        <f>IF(E2&gt;=90,"legend",IF(E2&gt;=82,"star",IF(E2&gt;=70,"regular","rookie")))</f>
        <v/>
      </c>
    </row>
    <row r="3">
      <c r="A3">
        <f>Characters!Q3</f>
        <v/>
      </c>
      <c r="B3">
        <f>Characters!A3</f>
        <v/>
      </c>
      <c r="C3">
        <f>Characters!C3</f>
        <v/>
      </c>
      <c r="D3">
        <f>Characters!D3</f>
        <v/>
      </c>
      <c r="E3">
        <f>Characters!J3</f>
        <v/>
      </c>
      <c r="AB3" t="inlineStr">
        <is>
          <t>OVR=BASE x frac+jitter au pull</t>
        </is>
      </c>
      <c r="AC3">
        <f>IF(E3&gt;=90,"legend",IF(E3&gt;=82,"star",IF(E3&gt;=70,"regular","rookie")))</f>
        <v/>
      </c>
    </row>
    <row r="4">
      <c r="A4">
        <f>Characters!Q4</f>
        <v/>
      </c>
      <c r="B4">
        <f>Characters!A4</f>
        <v/>
      </c>
      <c r="C4">
        <f>Characters!C4</f>
        <v/>
      </c>
      <c r="D4">
        <f>Characters!D4</f>
        <v/>
      </c>
      <c r="E4">
        <f>Characters!J4</f>
        <v/>
      </c>
      <c r="AB4" t="inlineStr">
        <is>
          <t>OVR=BASE x frac+jitter au pull</t>
        </is>
      </c>
      <c r="AC4">
        <f>IF(E4&gt;=90,"legend",IF(E4&gt;=82,"star",IF(E4&gt;=70,"regular","rookie")))</f>
        <v/>
      </c>
    </row>
    <row r="5">
      <c r="A5">
        <f>Characters!Q5</f>
        <v/>
      </c>
      <c r="B5">
        <f>Characters!A5</f>
        <v/>
      </c>
      <c r="C5">
        <f>Characters!C5</f>
        <v/>
      </c>
      <c r="D5">
        <f>Characters!D5</f>
        <v/>
      </c>
      <c r="E5">
        <f>Characters!J5</f>
        <v/>
      </c>
      <c r="AB5" t="inlineStr">
        <is>
          <t>OVR=BASE x frac+jitter au pull</t>
        </is>
      </c>
      <c r="AC5">
        <f>IF(E5&gt;=90,"legend",IF(E5&gt;=82,"star",IF(E5&gt;=70,"regular","rookie")))</f>
        <v/>
      </c>
    </row>
    <row r="6">
      <c r="A6">
        <f>Characters!Q6</f>
        <v/>
      </c>
      <c r="B6">
        <f>Characters!A6</f>
        <v/>
      </c>
      <c r="C6">
        <f>Characters!C6</f>
        <v/>
      </c>
      <c r="D6">
        <f>Characters!D6</f>
        <v/>
      </c>
      <c r="E6">
        <f>Characters!J6</f>
        <v/>
      </c>
      <c r="AB6" t="inlineStr">
        <is>
          <t>OVR=BASE x frac+jitter au pull</t>
        </is>
      </c>
      <c r="AC6">
        <f>IF(E6&gt;=90,"legend",IF(E6&gt;=82,"star",IF(E6&gt;=70,"regular","rookie")))</f>
        <v/>
      </c>
    </row>
    <row r="7">
      <c r="A7">
        <f>Characters!Q7</f>
        <v/>
      </c>
      <c r="B7">
        <f>Characters!A7</f>
        <v/>
      </c>
      <c r="C7">
        <f>Characters!C7</f>
        <v/>
      </c>
      <c r="D7">
        <f>Characters!D7</f>
        <v/>
      </c>
      <c r="E7">
        <f>Characters!J7</f>
        <v/>
      </c>
      <c r="AB7" t="inlineStr">
        <is>
          <t>OVR=BASE x frac+jitter au pull</t>
        </is>
      </c>
      <c r="AC7">
        <f>IF(E7&gt;=90,"legend",IF(E7&gt;=82,"star",IF(E7&gt;=70,"regular","rookie")))</f>
        <v/>
      </c>
    </row>
    <row r="8">
      <c r="A8">
        <f>Characters!Q8</f>
        <v/>
      </c>
      <c r="B8">
        <f>Characters!A8</f>
        <v/>
      </c>
      <c r="C8">
        <f>Characters!C8</f>
        <v/>
      </c>
      <c r="D8">
        <f>Characters!D8</f>
        <v/>
      </c>
      <c r="E8">
        <f>Characters!J8</f>
        <v/>
      </c>
      <c r="AB8" t="inlineStr">
        <is>
          <t>OVR=BASE x frac+jitter au pull</t>
        </is>
      </c>
      <c r="AC8">
        <f>IF(E8&gt;=90,"legend",IF(E8&gt;=82,"star",IF(E8&gt;=70,"regular","rookie")))</f>
        <v/>
      </c>
    </row>
    <row r="9">
      <c r="A9">
        <f>Characters!Q9</f>
        <v/>
      </c>
      <c r="B9">
        <f>Characters!A9</f>
        <v/>
      </c>
      <c r="C9">
        <f>Characters!C9</f>
        <v/>
      </c>
      <c r="D9">
        <f>Characters!D9</f>
        <v/>
      </c>
      <c r="E9">
        <f>Characters!J9</f>
        <v/>
      </c>
      <c r="AB9" t="inlineStr">
        <is>
          <t>OVR=BASE x frac+jitter au pull</t>
        </is>
      </c>
      <c r="AC9">
        <f>IF(E9&gt;=90,"legend",IF(E9&gt;=82,"star",IF(E9&gt;=70,"regular","rookie")))</f>
        <v/>
      </c>
    </row>
    <row r="10">
      <c r="A10">
        <f>Characters!Q10</f>
        <v/>
      </c>
      <c r="B10">
        <f>Characters!A10</f>
        <v/>
      </c>
      <c r="C10">
        <f>Characters!C10</f>
        <v/>
      </c>
      <c r="D10">
        <f>Characters!D10</f>
        <v/>
      </c>
      <c r="E10">
        <f>Characters!J10</f>
        <v/>
      </c>
      <c r="AB10" t="inlineStr">
        <is>
          <t>OVR=BASE x frac+jitter au pull</t>
        </is>
      </c>
      <c r="AC10">
        <f>IF(E10&gt;=90,"legend",IF(E10&gt;=82,"star",IF(E10&gt;=70,"regular","rookie")))</f>
        <v/>
      </c>
    </row>
    <row r="11">
      <c r="A11">
        <f>Characters!Q11</f>
        <v/>
      </c>
      <c r="B11">
        <f>Characters!A11</f>
        <v/>
      </c>
      <c r="C11">
        <f>Characters!C11</f>
        <v/>
      </c>
      <c r="D11">
        <f>Characters!D11</f>
        <v/>
      </c>
      <c r="E11">
        <f>Characters!J11</f>
        <v/>
      </c>
      <c r="AB11" t="inlineStr">
        <is>
          <t>OVR=BASE x frac+jitter au pull</t>
        </is>
      </c>
      <c r="AC11">
        <f>IF(E11&gt;=90,"legend",IF(E11&gt;=82,"star",IF(E11&gt;=70,"regular","rookie")))</f>
        <v/>
      </c>
    </row>
    <row r="12">
      <c r="A12">
        <f>Characters!Q12</f>
        <v/>
      </c>
      <c r="B12">
        <f>Characters!A12</f>
        <v/>
      </c>
      <c r="C12">
        <f>Characters!C12</f>
        <v/>
      </c>
      <c r="D12">
        <f>Characters!D12</f>
        <v/>
      </c>
      <c r="E12">
        <f>Characters!J12</f>
        <v/>
      </c>
      <c r="AB12" t="inlineStr">
        <is>
          <t>OVR=BASE x frac+jitter au pull</t>
        </is>
      </c>
      <c r="AC12">
        <f>IF(E12&gt;=90,"legend",IF(E12&gt;=82,"star",IF(E12&gt;=70,"regular","rookie")))</f>
        <v/>
      </c>
    </row>
    <row r="13">
      <c r="A13">
        <f>Characters!Q13</f>
        <v/>
      </c>
      <c r="B13">
        <f>Characters!A13</f>
        <v/>
      </c>
      <c r="C13">
        <f>Characters!C13</f>
        <v/>
      </c>
      <c r="D13">
        <f>Characters!D13</f>
        <v/>
      </c>
      <c r="E13">
        <f>Characters!J13</f>
        <v/>
      </c>
      <c r="AB13" t="inlineStr">
        <is>
          <t>OVR=BASE x frac+jitter au pull</t>
        </is>
      </c>
      <c r="AC13">
        <f>IF(E13&gt;=90,"legend",IF(E13&gt;=82,"star",IF(E13&gt;=70,"regular","rookie")))</f>
        <v/>
      </c>
    </row>
    <row r="14">
      <c r="A14">
        <f>Characters!Q14</f>
        <v/>
      </c>
      <c r="B14">
        <f>Characters!A14</f>
        <v/>
      </c>
      <c r="C14">
        <f>Characters!C14</f>
        <v/>
      </c>
      <c r="D14">
        <f>Characters!D14</f>
        <v/>
      </c>
      <c r="E14">
        <f>Characters!J14</f>
        <v/>
      </c>
      <c r="AB14" t="inlineStr">
        <is>
          <t>OVR=BASE x frac+jitter au pull</t>
        </is>
      </c>
      <c r="AC14">
        <f>IF(E14&gt;=90,"legend",IF(E14&gt;=82,"star",IF(E14&gt;=70,"regular","rookie")))</f>
        <v/>
      </c>
    </row>
    <row r="15">
      <c r="A15">
        <f>Characters!Q15</f>
        <v/>
      </c>
      <c r="B15">
        <f>Characters!A15</f>
        <v/>
      </c>
      <c r="C15">
        <f>Characters!C15</f>
        <v/>
      </c>
      <c r="D15">
        <f>Characters!D15</f>
        <v/>
      </c>
      <c r="E15">
        <f>Characters!J15</f>
        <v/>
      </c>
      <c r="AB15" t="inlineStr">
        <is>
          <t>OVR=BASE x frac+jitter au pull</t>
        </is>
      </c>
      <c r="AC15">
        <f>IF(E15&gt;=90,"legend",IF(E15&gt;=82,"star",IF(E15&gt;=70,"regular","rookie")))</f>
        <v/>
      </c>
    </row>
    <row r="16">
      <c r="A16">
        <f>Characters!Q16</f>
        <v/>
      </c>
      <c r="B16">
        <f>Characters!A16</f>
        <v/>
      </c>
      <c r="C16">
        <f>Characters!C16</f>
        <v/>
      </c>
      <c r="D16">
        <f>Characters!D16</f>
        <v/>
      </c>
      <c r="E16">
        <f>Characters!J16</f>
        <v/>
      </c>
      <c r="AB16" t="inlineStr">
        <is>
          <t>OVR=BASE x frac+jitter au pull</t>
        </is>
      </c>
      <c r="AC16">
        <f>IF(E16&gt;=90,"legend",IF(E16&gt;=82,"star",IF(E16&gt;=70,"regular","rookie")))</f>
        <v/>
      </c>
    </row>
    <row r="17">
      <c r="A17">
        <f>Characters!Q17</f>
        <v/>
      </c>
      <c r="B17">
        <f>Characters!A17</f>
        <v/>
      </c>
      <c r="C17">
        <f>Characters!C17</f>
        <v/>
      </c>
      <c r="D17">
        <f>Characters!D17</f>
        <v/>
      </c>
      <c r="E17">
        <f>Characters!J17</f>
        <v/>
      </c>
      <c r="AB17" t="inlineStr">
        <is>
          <t>OVR=BASE x frac+jitter au pull</t>
        </is>
      </c>
      <c r="AC17">
        <f>IF(E17&gt;=90,"legend",IF(E17&gt;=82,"star",IF(E17&gt;=70,"regular","rookie")))</f>
        <v/>
      </c>
    </row>
    <row r="18">
      <c r="A18">
        <f>Characters!Q18</f>
        <v/>
      </c>
      <c r="B18">
        <f>Characters!A18</f>
        <v/>
      </c>
      <c r="C18">
        <f>Characters!C18</f>
        <v/>
      </c>
      <c r="D18">
        <f>Characters!D18</f>
        <v/>
      </c>
      <c r="E18">
        <f>Characters!J18</f>
        <v/>
      </c>
      <c r="AB18" t="inlineStr">
        <is>
          <t>OVR=BASE x frac+jitter au pull</t>
        </is>
      </c>
      <c r="AC18">
        <f>IF(E18&gt;=90,"legend",IF(E18&gt;=82,"star",IF(E18&gt;=70,"regular","rookie")))</f>
        <v/>
      </c>
    </row>
    <row r="19">
      <c r="A19">
        <f>Characters!Q19</f>
        <v/>
      </c>
      <c r="B19">
        <f>Characters!A19</f>
        <v/>
      </c>
      <c r="C19">
        <f>Characters!C19</f>
        <v/>
      </c>
      <c r="D19">
        <f>Characters!D19</f>
        <v/>
      </c>
      <c r="E19">
        <f>Characters!J19</f>
        <v/>
      </c>
      <c r="AB19" t="inlineStr">
        <is>
          <t>OVR=BASE x frac+jitter au pull</t>
        </is>
      </c>
      <c r="AC19">
        <f>IF(E19&gt;=90,"legend",IF(E19&gt;=82,"star",IF(E19&gt;=70,"regular","rookie")))</f>
        <v/>
      </c>
    </row>
    <row r="20">
      <c r="A20">
        <f>Characters!Q20</f>
        <v/>
      </c>
      <c r="B20">
        <f>Characters!A20</f>
        <v/>
      </c>
      <c r="C20">
        <f>Characters!C20</f>
        <v/>
      </c>
      <c r="D20">
        <f>Characters!D20</f>
        <v/>
      </c>
      <c r="E20">
        <f>Characters!J20</f>
        <v/>
      </c>
      <c r="AB20" t="inlineStr">
        <is>
          <t>OVR=BASE x frac+jitter au pull</t>
        </is>
      </c>
      <c r="AC20">
        <f>IF(E20&gt;=90,"legend",IF(E20&gt;=82,"star",IF(E20&gt;=70,"regular","rookie")))</f>
        <v/>
      </c>
    </row>
    <row r="21">
      <c r="A21">
        <f>Characters!Q21</f>
        <v/>
      </c>
      <c r="B21">
        <f>Characters!A21</f>
        <v/>
      </c>
      <c r="C21">
        <f>Characters!C21</f>
        <v/>
      </c>
      <c r="D21">
        <f>Characters!D21</f>
        <v/>
      </c>
      <c r="E21">
        <f>Characters!J21</f>
        <v/>
      </c>
      <c r="AB21" t="inlineStr">
        <is>
          <t>OVR=BASE x frac+jitter au pull</t>
        </is>
      </c>
      <c r="AC21">
        <f>IF(E21&gt;=90,"legend",IF(E21&gt;=82,"star",IF(E21&gt;=70,"regular","rookie")))</f>
        <v/>
      </c>
    </row>
    <row r="22">
      <c r="A22">
        <f>Characters!Q22</f>
        <v/>
      </c>
      <c r="B22">
        <f>Characters!A22</f>
        <v/>
      </c>
      <c r="C22">
        <f>Characters!C22</f>
        <v/>
      </c>
      <c r="D22">
        <f>Characters!D22</f>
        <v/>
      </c>
      <c r="E22">
        <f>Characters!J22</f>
        <v/>
      </c>
      <c r="AB22" t="inlineStr">
        <is>
          <t>OVR=BASE x frac+jitter au pull</t>
        </is>
      </c>
      <c r="AC22">
        <f>IF(E22&gt;=90,"legend",IF(E22&gt;=82,"star",IF(E22&gt;=70,"regular","rookie")))</f>
        <v/>
      </c>
    </row>
    <row r="23">
      <c r="A23">
        <f>Characters!Q23</f>
        <v/>
      </c>
      <c r="B23">
        <f>Characters!A23</f>
        <v/>
      </c>
      <c r="C23">
        <f>Characters!C23</f>
        <v/>
      </c>
      <c r="D23">
        <f>Characters!D23</f>
        <v/>
      </c>
      <c r="E23">
        <f>Characters!J23</f>
        <v/>
      </c>
      <c r="AB23" t="inlineStr">
        <is>
          <t>OVR=BASE x frac+jitter au pull</t>
        </is>
      </c>
      <c r="AC23">
        <f>IF(E23&gt;=90,"legend",IF(E23&gt;=82,"star",IF(E23&gt;=70,"regular","rookie")))</f>
        <v/>
      </c>
    </row>
    <row r="24">
      <c r="A24">
        <f>Characters!Q24</f>
        <v/>
      </c>
      <c r="B24">
        <f>Characters!A24</f>
        <v/>
      </c>
      <c r="C24">
        <f>Characters!C24</f>
        <v/>
      </c>
      <c r="D24">
        <f>Characters!D24</f>
        <v/>
      </c>
      <c r="E24">
        <f>Characters!J24</f>
        <v/>
      </c>
      <c r="AB24" t="inlineStr">
        <is>
          <t>OVR=BASE x frac+jitter au pull</t>
        </is>
      </c>
      <c r="AC24">
        <f>IF(E24&gt;=90,"legend",IF(E24&gt;=82,"star",IF(E24&gt;=70,"regular","rookie")))</f>
        <v/>
      </c>
    </row>
    <row r="25">
      <c r="A25">
        <f>Characters!Q25</f>
        <v/>
      </c>
      <c r="B25">
        <f>Characters!A25</f>
        <v/>
      </c>
      <c r="C25">
        <f>Characters!C25</f>
        <v/>
      </c>
      <c r="D25">
        <f>Characters!D25</f>
        <v/>
      </c>
      <c r="E25">
        <f>Characters!J25</f>
        <v/>
      </c>
      <c r="AB25" t="inlineStr">
        <is>
          <t>OVR=BASE x frac+jitter au pull</t>
        </is>
      </c>
      <c r="AC25">
        <f>IF(E25&gt;=90,"legend",IF(E25&gt;=82,"star",IF(E25&gt;=70,"regular","rookie")))</f>
        <v/>
      </c>
    </row>
    <row r="26">
      <c r="A26">
        <f>Characters!Q26</f>
        <v/>
      </c>
      <c r="B26">
        <f>Characters!A26</f>
        <v/>
      </c>
      <c r="C26">
        <f>Characters!C26</f>
        <v/>
      </c>
      <c r="D26">
        <f>Characters!D26</f>
        <v/>
      </c>
      <c r="E26">
        <f>Characters!J26</f>
        <v/>
      </c>
      <c r="AB26" t="inlineStr">
        <is>
          <t>OVR=BASE x frac+jitter au pull</t>
        </is>
      </c>
      <c r="AC26">
        <f>IF(E26&gt;=90,"legend",IF(E26&gt;=82,"star",IF(E26&gt;=70,"regular","rookie")))</f>
        <v/>
      </c>
    </row>
    <row r="27">
      <c r="A27">
        <f>Characters!Q27</f>
        <v/>
      </c>
      <c r="B27">
        <f>Characters!A27</f>
        <v/>
      </c>
      <c r="C27">
        <f>Characters!C27</f>
        <v/>
      </c>
      <c r="D27">
        <f>Characters!D27</f>
        <v/>
      </c>
      <c r="E27">
        <f>Characters!J27</f>
        <v/>
      </c>
      <c r="AB27" t="inlineStr">
        <is>
          <t>OVR=BASE x frac+jitter au pull</t>
        </is>
      </c>
      <c r="AC27">
        <f>IF(E27&gt;=90,"legend",IF(E27&gt;=82,"star",IF(E27&gt;=70,"regular","rookie")))</f>
        <v/>
      </c>
    </row>
    <row r="28">
      <c r="A28">
        <f>Characters!Q28</f>
        <v/>
      </c>
      <c r="B28">
        <f>Characters!A28</f>
        <v/>
      </c>
      <c r="C28">
        <f>Characters!C28</f>
        <v/>
      </c>
      <c r="D28">
        <f>Characters!D28</f>
        <v/>
      </c>
      <c r="E28">
        <f>Characters!J28</f>
        <v/>
      </c>
      <c r="AB28" t="inlineStr">
        <is>
          <t>OVR=BASE x frac+jitter au pull</t>
        </is>
      </c>
      <c r="AC28">
        <f>IF(E28&gt;=90,"legend",IF(E28&gt;=82,"star",IF(E28&gt;=70,"regular","rookie")))</f>
        <v/>
      </c>
    </row>
    <row r="29">
      <c r="A29">
        <f>Characters!Q29</f>
        <v/>
      </c>
      <c r="B29">
        <f>Characters!A29</f>
        <v/>
      </c>
      <c r="C29">
        <f>Characters!C29</f>
        <v/>
      </c>
      <c r="D29">
        <f>Characters!D29</f>
        <v/>
      </c>
      <c r="E29">
        <f>Characters!J29</f>
        <v/>
      </c>
      <c r="AB29" t="inlineStr">
        <is>
          <t>OVR=BASE x frac+jitter au pull</t>
        </is>
      </c>
      <c r="AC29">
        <f>IF(E29&gt;=90,"legend",IF(E29&gt;=82,"star",IF(E29&gt;=70,"regular","rookie")))</f>
        <v/>
      </c>
    </row>
    <row r="30">
      <c r="A30">
        <f>Characters!Q30</f>
        <v/>
      </c>
      <c r="B30">
        <f>Characters!A30</f>
        <v/>
      </c>
      <c r="C30">
        <f>Characters!C30</f>
        <v/>
      </c>
      <c r="D30">
        <f>Characters!D30</f>
        <v/>
      </c>
      <c r="E30">
        <f>Characters!J30</f>
        <v/>
      </c>
      <c r="AB30" t="inlineStr">
        <is>
          <t>OVR=BASE x frac+jitter au pull</t>
        </is>
      </c>
      <c r="AC30">
        <f>IF(E30&gt;=90,"legend",IF(E30&gt;=82,"star",IF(E30&gt;=70,"regular","rookie")))</f>
        <v/>
      </c>
    </row>
    <row r="31">
      <c r="A31">
        <f>Characters!Q31</f>
        <v/>
      </c>
      <c r="B31">
        <f>Characters!A31</f>
        <v/>
      </c>
      <c r="C31">
        <f>Characters!C31</f>
        <v/>
      </c>
      <c r="D31">
        <f>Characters!D31</f>
        <v/>
      </c>
      <c r="E31">
        <f>Characters!J31</f>
        <v/>
      </c>
      <c r="AB31" t="inlineStr">
        <is>
          <t>OVR=BASE x frac+jitter au pull</t>
        </is>
      </c>
      <c r="AC31">
        <f>IF(E31&gt;=90,"legend",IF(E31&gt;=82,"star",IF(E31&gt;=70,"regular","rookie")))</f>
        <v/>
      </c>
    </row>
    <row r="32">
      <c r="A32">
        <f>Characters!Q32</f>
        <v/>
      </c>
      <c r="B32">
        <f>Characters!A32</f>
        <v/>
      </c>
      <c r="C32">
        <f>Characters!C32</f>
        <v/>
      </c>
      <c r="D32">
        <f>Characters!D32</f>
        <v/>
      </c>
      <c r="E32">
        <f>Characters!J32</f>
        <v/>
      </c>
      <c r="AB32" t="inlineStr">
        <is>
          <t>OVR=BASE x frac+jitter au pull</t>
        </is>
      </c>
      <c r="AC32">
        <f>IF(E32&gt;=90,"legend",IF(E32&gt;=82,"star",IF(E32&gt;=70,"regular","rookie")))</f>
        <v/>
      </c>
    </row>
    <row r="33">
      <c r="A33">
        <f>Characters!Q33</f>
        <v/>
      </c>
      <c r="B33">
        <f>Characters!A33</f>
        <v/>
      </c>
      <c r="C33">
        <f>Characters!C33</f>
        <v/>
      </c>
      <c r="D33">
        <f>Characters!D33</f>
        <v/>
      </c>
      <c r="E33">
        <f>Characters!J33</f>
        <v/>
      </c>
      <c r="AB33" t="inlineStr">
        <is>
          <t>OVR=BASE x frac+jitter au pull</t>
        </is>
      </c>
      <c r="AC33">
        <f>IF(E33&gt;=90,"legend",IF(E33&gt;=82,"star",IF(E33&gt;=70,"regular","rookie")))</f>
        <v/>
      </c>
    </row>
    <row r="34">
      <c r="A34">
        <f>Characters!Q34</f>
        <v/>
      </c>
      <c r="B34">
        <f>Characters!A34</f>
        <v/>
      </c>
      <c r="C34">
        <f>Characters!C34</f>
        <v/>
      </c>
      <c r="D34">
        <f>Characters!D34</f>
        <v/>
      </c>
      <c r="E34">
        <f>Characters!J34</f>
        <v/>
      </c>
      <c r="AB34" t="inlineStr">
        <is>
          <t>OVR=BASE x frac+jitter au pull</t>
        </is>
      </c>
      <c r="AC34">
        <f>IF(E34&gt;=90,"legend",IF(E34&gt;=82,"star",IF(E34&gt;=70,"regular","rookie")))</f>
        <v/>
      </c>
    </row>
    <row r="35">
      <c r="A35">
        <f>Characters!Q35</f>
        <v/>
      </c>
      <c r="B35">
        <f>Characters!A35</f>
        <v/>
      </c>
      <c r="C35">
        <f>Characters!C35</f>
        <v/>
      </c>
      <c r="D35">
        <f>Characters!D35</f>
        <v/>
      </c>
      <c r="E35">
        <f>Characters!J35</f>
        <v/>
      </c>
      <c r="AB35" t="inlineStr">
        <is>
          <t>OVR=BASE x frac+jitter au pull</t>
        </is>
      </c>
      <c r="AC35">
        <f>IF(E35&gt;=90,"legend",IF(E35&gt;=82,"star",IF(E35&gt;=70,"regular","rookie")))</f>
        <v/>
      </c>
    </row>
    <row r="36">
      <c r="A36">
        <f>Characters!Q36</f>
        <v/>
      </c>
      <c r="B36">
        <f>Characters!A36</f>
        <v/>
      </c>
      <c r="C36">
        <f>Characters!C36</f>
        <v/>
      </c>
      <c r="D36">
        <f>Characters!D36</f>
        <v/>
      </c>
      <c r="E36">
        <f>Characters!J36</f>
        <v/>
      </c>
      <c r="AB36" t="inlineStr">
        <is>
          <t>OVR=BASE x frac+jitter au pull</t>
        </is>
      </c>
      <c r="AC36">
        <f>IF(E36&gt;=90,"legend",IF(E36&gt;=82,"star",IF(E36&gt;=70,"regular","rookie")))</f>
        <v/>
      </c>
    </row>
    <row r="37">
      <c r="A37">
        <f>Characters!Q37</f>
        <v/>
      </c>
      <c r="B37">
        <f>Characters!A37</f>
        <v/>
      </c>
      <c r="C37">
        <f>Characters!C37</f>
        <v/>
      </c>
      <c r="D37">
        <f>Characters!D37</f>
        <v/>
      </c>
      <c r="E37">
        <f>Characters!J37</f>
        <v/>
      </c>
      <c r="AB37" t="inlineStr">
        <is>
          <t>OVR=BASE x frac+jitter au pull</t>
        </is>
      </c>
      <c r="AC37">
        <f>IF(E37&gt;=90,"legend",IF(E37&gt;=82,"star",IF(E37&gt;=70,"regular","rookie")))</f>
        <v/>
      </c>
    </row>
    <row r="38">
      <c r="A38">
        <f>Characters!Q38</f>
        <v/>
      </c>
      <c r="B38">
        <f>Characters!A38</f>
        <v/>
      </c>
      <c r="C38">
        <f>Characters!C38</f>
        <v/>
      </c>
      <c r="D38">
        <f>Characters!D38</f>
        <v/>
      </c>
      <c r="E38">
        <f>Characters!J38</f>
        <v/>
      </c>
      <c r="AB38" t="inlineStr">
        <is>
          <t>OVR=BASE x frac+jitter au pull</t>
        </is>
      </c>
      <c r="AC38">
        <f>IF(E38&gt;=90,"legend",IF(E38&gt;=82,"star",IF(E38&gt;=70,"regular","rookie")))</f>
        <v/>
      </c>
    </row>
    <row r="39">
      <c r="A39">
        <f>Characters!Q39</f>
        <v/>
      </c>
      <c r="B39">
        <f>Characters!A39</f>
        <v/>
      </c>
      <c r="C39">
        <f>Characters!C39</f>
        <v/>
      </c>
      <c r="D39">
        <f>Characters!D39</f>
        <v/>
      </c>
      <c r="E39">
        <f>Characters!J39</f>
        <v/>
      </c>
      <c r="AB39" t="inlineStr">
        <is>
          <t>OVR=BASE x frac+jitter au pull</t>
        </is>
      </c>
      <c r="AC39">
        <f>IF(E39&gt;=90,"legend",IF(E39&gt;=82,"star",IF(E39&gt;=70,"regular","rookie")))</f>
        <v/>
      </c>
    </row>
    <row r="40">
      <c r="A40">
        <f>Characters!Q40</f>
        <v/>
      </c>
      <c r="B40">
        <f>Characters!A40</f>
        <v/>
      </c>
      <c r="C40">
        <f>Characters!C40</f>
        <v/>
      </c>
      <c r="D40">
        <f>Characters!D40</f>
        <v/>
      </c>
      <c r="E40">
        <f>Characters!J40</f>
        <v/>
      </c>
      <c r="AB40" t="inlineStr">
        <is>
          <t>OVR=BASE x frac+jitter au pull</t>
        </is>
      </c>
      <c r="AC40">
        <f>IF(E40&gt;=90,"legend",IF(E40&gt;=82,"star",IF(E40&gt;=70,"regular","rookie")))</f>
        <v/>
      </c>
    </row>
    <row r="41">
      <c r="A41">
        <f>Characters!Q41</f>
        <v/>
      </c>
      <c r="B41">
        <f>Characters!A41</f>
        <v/>
      </c>
      <c r="C41">
        <f>Characters!C41</f>
        <v/>
      </c>
      <c r="D41">
        <f>Characters!D41</f>
        <v/>
      </c>
      <c r="E41">
        <f>Characters!J41</f>
        <v/>
      </c>
      <c r="AB41" t="inlineStr">
        <is>
          <t>OVR=BASE x frac+jitter au pull</t>
        </is>
      </c>
      <c r="AC41">
        <f>IF(E41&gt;=90,"legend",IF(E41&gt;=82,"star",IF(E41&gt;=70,"regular","rookie")))</f>
        <v/>
      </c>
    </row>
    <row r="42">
      <c r="A42">
        <f>Characters!Q42</f>
        <v/>
      </c>
      <c r="B42">
        <f>Characters!A42</f>
        <v/>
      </c>
      <c r="C42">
        <f>Characters!C42</f>
        <v/>
      </c>
      <c r="D42">
        <f>Characters!D42</f>
        <v/>
      </c>
      <c r="E42">
        <f>Characters!J42</f>
        <v/>
      </c>
      <c r="AB42" t="inlineStr">
        <is>
          <t>OVR=BASE x frac+jitter au pull</t>
        </is>
      </c>
      <c r="AC42">
        <f>IF(E42&gt;=90,"legend",IF(E42&gt;=82,"star",IF(E42&gt;=70,"regular","rookie")))</f>
        <v/>
      </c>
    </row>
    <row r="43">
      <c r="A43">
        <f>Characters!Q43</f>
        <v/>
      </c>
      <c r="B43">
        <f>Characters!A43</f>
        <v/>
      </c>
      <c r="C43">
        <f>Characters!C43</f>
        <v/>
      </c>
      <c r="D43">
        <f>Characters!D43</f>
        <v/>
      </c>
      <c r="E43">
        <f>Characters!J43</f>
        <v/>
      </c>
      <c r="AB43" t="inlineStr">
        <is>
          <t>OVR=BASE x frac+jitter au pull</t>
        </is>
      </c>
      <c r="AC43">
        <f>IF(E43&gt;=90,"legend",IF(E43&gt;=82,"star",IF(E43&gt;=70,"regular","rookie")))</f>
        <v/>
      </c>
    </row>
    <row r="44">
      <c r="A44">
        <f>Characters!Q44</f>
        <v/>
      </c>
      <c r="B44">
        <f>Characters!A44</f>
        <v/>
      </c>
      <c r="C44">
        <f>Characters!C44</f>
        <v/>
      </c>
      <c r="D44">
        <f>Characters!D44</f>
        <v/>
      </c>
      <c r="E44">
        <f>Characters!J44</f>
        <v/>
      </c>
      <c r="AB44" t="inlineStr">
        <is>
          <t>OVR=BASE x frac+jitter au pull</t>
        </is>
      </c>
      <c r="AC44">
        <f>IF(E44&gt;=90,"legend",IF(E44&gt;=82,"star",IF(E44&gt;=70,"regular","rookie")))</f>
        <v/>
      </c>
    </row>
    <row r="45">
      <c r="A45">
        <f>Characters!Q45</f>
        <v/>
      </c>
      <c r="B45">
        <f>Characters!A45</f>
        <v/>
      </c>
      <c r="C45">
        <f>Characters!C45</f>
        <v/>
      </c>
      <c r="D45">
        <f>Characters!D45</f>
        <v/>
      </c>
      <c r="E45">
        <f>Characters!J45</f>
        <v/>
      </c>
      <c r="AB45" t="inlineStr">
        <is>
          <t>OVR=BASE x frac+jitter au pull</t>
        </is>
      </c>
      <c r="AC45">
        <f>IF(E45&gt;=90,"legend",IF(E45&gt;=82,"star",IF(E45&gt;=70,"regular","rookie")))</f>
        <v/>
      </c>
    </row>
    <row r="46">
      <c r="A46">
        <f>Characters!Q46</f>
        <v/>
      </c>
      <c r="B46">
        <f>Characters!A46</f>
        <v/>
      </c>
      <c r="C46">
        <f>Characters!C46</f>
        <v/>
      </c>
      <c r="D46">
        <f>Characters!D46</f>
        <v/>
      </c>
      <c r="E46">
        <f>Characters!J46</f>
        <v/>
      </c>
      <c r="AB46" t="inlineStr">
        <is>
          <t>OVR=BASE x frac+jitter au pull</t>
        </is>
      </c>
      <c r="AC46">
        <f>IF(E46&gt;=90,"legend",IF(E46&gt;=82,"star",IF(E46&gt;=70,"regular","rookie")))</f>
        <v/>
      </c>
    </row>
    <row r="47">
      <c r="A47">
        <f>Characters!Q47</f>
        <v/>
      </c>
      <c r="B47">
        <f>Characters!A47</f>
        <v/>
      </c>
      <c r="C47">
        <f>Characters!C47</f>
        <v/>
      </c>
      <c r="D47">
        <f>Characters!D47</f>
        <v/>
      </c>
      <c r="E47">
        <f>Characters!J47</f>
        <v/>
      </c>
      <c r="AB47" t="inlineStr">
        <is>
          <t>OVR=BASE x frac+jitter au pull</t>
        </is>
      </c>
      <c r="AC47">
        <f>IF(E47&gt;=90,"legend",IF(E47&gt;=82,"star",IF(E47&gt;=70,"regular","rookie")))</f>
        <v/>
      </c>
    </row>
    <row r="48">
      <c r="A48">
        <f>Characters!Q48</f>
        <v/>
      </c>
      <c r="B48">
        <f>Characters!A48</f>
        <v/>
      </c>
      <c r="C48">
        <f>Characters!C48</f>
        <v/>
      </c>
      <c r="D48">
        <f>Characters!D48</f>
        <v/>
      </c>
      <c r="E48">
        <f>Characters!J48</f>
        <v/>
      </c>
      <c r="AB48" t="inlineStr">
        <is>
          <t>OVR=BASE x frac+jitter au pull</t>
        </is>
      </c>
      <c r="AC48">
        <f>IF(E48&gt;=90,"legend",IF(E48&gt;=82,"star",IF(E48&gt;=70,"regular","rookie")))</f>
        <v/>
      </c>
    </row>
    <row r="49">
      <c r="A49">
        <f>Characters!Q49</f>
        <v/>
      </c>
      <c r="B49">
        <f>Characters!A49</f>
        <v/>
      </c>
      <c r="C49">
        <f>Characters!C49</f>
        <v/>
      </c>
      <c r="D49">
        <f>Characters!D49</f>
        <v/>
      </c>
      <c r="E49">
        <f>Characters!J49</f>
        <v/>
      </c>
      <c r="AB49" t="inlineStr">
        <is>
          <t>OVR=BASE x frac+jitter au pull</t>
        </is>
      </c>
      <c r="AC49">
        <f>IF(E49&gt;=90,"legend",IF(E49&gt;=82,"star",IF(E49&gt;=70,"regular","rookie")))</f>
        <v/>
      </c>
    </row>
    <row r="50">
      <c r="A50">
        <f>Characters!Q50</f>
        <v/>
      </c>
      <c r="B50">
        <f>Characters!A50</f>
        <v/>
      </c>
      <c r="C50">
        <f>Characters!C50</f>
        <v/>
      </c>
      <c r="D50">
        <f>Characters!D50</f>
        <v/>
      </c>
      <c r="E50">
        <f>Characters!J50</f>
        <v/>
      </c>
      <c r="AB50" t="inlineStr">
        <is>
          <t>OVR=BASE x frac+jitter au pull</t>
        </is>
      </c>
      <c r="AC50">
        <f>IF(E50&gt;=90,"legend",IF(E50&gt;=82,"star",IF(E50&gt;=70,"regular","rookie")))</f>
        <v/>
      </c>
    </row>
    <row r="51">
      <c r="A51">
        <f>Characters!Q51</f>
        <v/>
      </c>
      <c r="B51">
        <f>Characters!A51</f>
        <v/>
      </c>
      <c r="C51">
        <f>Characters!C51</f>
        <v/>
      </c>
      <c r="D51">
        <f>Characters!D51</f>
        <v/>
      </c>
      <c r="E51">
        <f>Characters!J51</f>
        <v/>
      </c>
      <c r="AB51" t="inlineStr">
        <is>
          <t>OVR=BASE x frac+jitter au pull</t>
        </is>
      </c>
      <c r="AC51">
        <f>IF(E51&gt;=90,"legend",IF(E51&gt;=82,"star",IF(E51&gt;=70,"regular","rookie")))</f>
        <v/>
      </c>
    </row>
    <row r="52">
      <c r="A52">
        <f>Characters!Q52</f>
        <v/>
      </c>
      <c r="B52">
        <f>Characters!A52</f>
        <v/>
      </c>
      <c r="C52">
        <f>Characters!C52</f>
        <v/>
      </c>
      <c r="D52">
        <f>Characters!D52</f>
        <v/>
      </c>
      <c r="E52">
        <f>Characters!J52</f>
        <v/>
      </c>
      <c r="AB52" t="inlineStr">
        <is>
          <t>OVR=BASE x frac+jitter au pull</t>
        </is>
      </c>
      <c r="AC52">
        <f>IF(E52&gt;=90,"legend",IF(E52&gt;=82,"star",IF(E52&gt;=70,"regular","rookie")))</f>
        <v/>
      </c>
    </row>
    <row r="53">
      <c r="A53">
        <f>Characters!Q53</f>
        <v/>
      </c>
      <c r="B53">
        <f>Characters!A53</f>
        <v/>
      </c>
      <c r="C53">
        <f>Characters!C53</f>
        <v/>
      </c>
      <c r="D53">
        <f>Characters!D53</f>
        <v/>
      </c>
      <c r="E53">
        <f>Characters!J53</f>
        <v/>
      </c>
      <c r="AB53" t="inlineStr">
        <is>
          <t>OVR=BASE x frac+jitter au pull</t>
        </is>
      </c>
      <c r="AC53">
        <f>IF(E53&gt;=90,"legend",IF(E53&gt;=82,"star",IF(E53&gt;=70,"regular","rookie")))</f>
        <v/>
      </c>
    </row>
    <row r="54">
      <c r="A54">
        <f>Characters!Q54</f>
        <v/>
      </c>
      <c r="B54">
        <f>Characters!A54</f>
        <v/>
      </c>
      <c r="C54">
        <f>Characters!C54</f>
        <v/>
      </c>
      <c r="D54">
        <f>Characters!D54</f>
        <v/>
      </c>
      <c r="E54">
        <f>Characters!J54</f>
        <v/>
      </c>
      <c r="AB54" t="inlineStr">
        <is>
          <t>OVR=BASE x frac+jitter au pull</t>
        </is>
      </c>
      <c r="AC54">
        <f>IF(E54&gt;=90,"legend",IF(E54&gt;=82,"star",IF(E54&gt;=70,"regular","rookie")))</f>
        <v/>
      </c>
    </row>
    <row r="55">
      <c r="A55">
        <f>Characters!Q55</f>
        <v/>
      </c>
      <c r="B55">
        <f>Characters!A55</f>
        <v/>
      </c>
      <c r="C55">
        <f>Characters!C55</f>
        <v/>
      </c>
      <c r="D55">
        <f>Characters!D55</f>
        <v/>
      </c>
      <c r="E55">
        <f>Characters!J55</f>
        <v/>
      </c>
      <c r="AB55" t="inlineStr">
        <is>
          <t>OVR=BASE x frac+jitter au pull</t>
        </is>
      </c>
      <c r="AC55">
        <f>IF(E55&gt;=90,"legend",IF(E55&gt;=82,"star",IF(E55&gt;=70,"regular","rookie")))</f>
        <v/>
      </c>
    </row>
    <row r="56">
      <c r="A56">
        <f>Characters!Q56</f>
        <v/>
      </c>
      <c r="B56">
        <f>Characters!A56</f>
        <v/>
      </c>
      <c r="C56">
        <f>Characters!C56</f>
        <v/>
      </c>
      <c r="D56">
        <f>Characters!D56</f>
        <v/>
      </c>
      <c r="E56">
        <f>Characters!J56</f>
        <v/>
      </c>
      <c r="AB56" t="inlineStr">
        <is>
          <t>OVR=BASE x frac+jitter au pull</t>
        </is>
      </c>
      <c r="AC56">
        <f>IF(E56&gt;=90,"legend",IF(E56&gt;=82,"star",IF(E56&gt;=70,"regular","rookie")))</f>
        <v/>
      </c>
    </row>
    <row r="57">
      <c r="A57">
        <f>Characters!Q57</f>
        <v/>
      </c>
      <c r="B57">
        <f>Characters!A57</f>
        <v/>
      </c>
      <c r="C57">
        <f>Characters!C57</f>
        <v/>
      </c>
      <c r="D57">
        <f>Characters!D57</f>
        <v/>
      </c>
      <c r="E57">
        <f>Characters!J57</f>
        <v/>
      </c>
      <c r="AB57" t="inlineStr">
        <is>
          <t>OVR=BASE x frac+jitter au pull</t>
        </is>
      </c>
      <c r="AC57">
        <f>IF(E57&gt;=90,"legend",IF(E57&gt;=82,"star",IF(E57&gt;=70,"regular","rookie")))</f>
        <v/>
      </c>
    </row>
    <row r="58">
      <c r="A58">
        <f>Characters!Q58</f>
        <v/>
      </c>
      <c r="B58">
        <f>Characters!A58</f>
        <v/>
      </c>
      <c r="C58">
        <f>Characters!C58</f>
        <v/>
      </c>
      <c r="D58">
        <f>Characters!D58</f>
        <v/>
      </c>
      <c r="E58">
        <f>Characters!J58</f>
        <v/>
      </c>
      <c r="AB58" t="inlineStr">
        <is>
          <t>OVR=BASE x frac+jitter au pull</t>
        </is>
      </c>
      <c r="AC58">
        <f>IF(E58&gt;=90,"legend",IF(E58&gt;=82,"star",IF(E58&gt;=70,"regular","rookie")))</f>
        <v/>
      </c>
    </row>
    <row r="59">
      <c r="A59">
        <f>Characters!Q59</f>
        <v/>
      </c>
      <c r="B59">
        <f>Characters!A59</f>
        <v/>
      </c>
      <c r="C59">
        <f>Characters!C59</f>
        <v/>
      </c>
      <c r="D59">
        <f>Characters!D59</f>
        <v/>
      </c>
      <c r="E59">
        <f>Characters!J59</f>
        <v/>
      </c>
      <c r="AB59" t="inlineStr">
        <is>
          <t>OVR=BASE x frac+jitter au pull</t>
        </is>
      </c>
      <c r="AC59">
        <f>IF(E59&gt;=90,"legend",IF(E59&gt;=82,"star",IF(E59&gt;=70,"regular","rookie")))</f>
        <v/>
      </c>
    </row>
    <row r="60">
      <c r="A60">
        <f>Characters!Q60</f>
        <v/>
      </c>
      <c r="B60">
        <f>Characters!A60</f>
        <v/>
      </c>
      <c r="C60">
        <f>Characters!C60</f>
        <v/>
      </c>
      <c r="D60">
        <f>Characters!D60</f>
        <v/>
      </c>
      <c r="E60">
        <f>Characters!J60</f>
        <v/>
      </c>
      <c r="AB60" t="inlineStr">
        <is>
          <t>OVR=BASE x frac+jitter au pull</t>
        </is>
      </c>
      <c r="AC60">
        <f>IF(E60&gt;=90,"legend",IF(E60&gt;=82,"star",IF(E60&gt;=70,"regular","rookie")))</f>
        <v/>
      </c>
    </row>
    <row r="61">
      <c r="A61">
        <f>Characters!Q61</f>
        <v/>
      </c>
      <c r="B61">
        <f>Characters!A61</f>
        <v/>
      </c>
      <c r="C61">
        <f>Characters!C61</f>
        <v/>
      </c>
      <c r="D61">
        <f>Characters!D61</f>
        <v/>
      </c>
      <c r="E61">
        <f>Characters!J61</f>
        <v/>
      </c>
      <c r="AB61" t="inlineStr">
        <is>
          <t>OVR=BASE x frac+jitter au pull</t>
        </is>
      </c>
      <c r="AC61">
        <f>IF(E61&gt;=90,"legend",IF(E61&gt;=82,"star",IF(E61&gt;=70,"regular","rookie")))</f>
        <v/>
      </c>
    </row>
    <row r="62">
      <c r="A62">
        <f>Characters!Q62</f>
        <v/>
      </c>
      <c r="B62">
        <f>Characters!A62</f>
        <v/>
      </c>
      <c r="C62">
        <f>Characters!C62</f>
        <v/>
      </c>
      <c r="D62">
        <f>Characters!D62</f>
        <v/>
      </c>
      <c r="E62">
        <f>Characters!J62</f>
        <v/>
      </c>
      <c r="AB62" t="inlineStr">
        <is>
          <t>OVR=BASE x frac+jitter au pull</t>
        </is>
      </c>
      <c r="AC62">
        <f>IF(E62&gt;=90,"legend",IF(E62&gt;=82,"star",IF(E62&gt;=70,"regular","rookie")))</f>
        <v/>
      </c>
    </row>
    <row r="63">
      <c r="A63">
        <f>Characters!Q63</f>
        <v/>
      </c>
      <c r="B63">
        <f>Characters!A63</f>
        <v/>
      </c>
      <c r="C63">
        <f>Characters!C63</f>
        <v/>
      </c>
      <c r="D63">
        <f>Characters!D63</f>
        <v/>
      </c>
      <c r="E63">
        <f>Characters!J63</f>
        <v/>
      </c>
      <c r="AB63" t="inlineStr">
        <is>
          <t>OVR=BASE x frac+jitter au pull</t>
        </is>
      </c>
      <c r="AC63">
        <f>IF(E63&gt;=90,"legend",IF(E63&gt;=82,"star",IF(E63&gt;=70,"regular","rookie")))</f>
        <v/>
      </c>
    </row>
    <row r="64">
      <c r="A64">
        <f>Characters!Q64</f>
        <v/>
      </c>
      <c r="B64">
        <f>Characters!A64</f>
        <v/>
      </c>
      <c r="C64">
        <f>Characters!C64</f>
        <v/>
      </c>
      <c r="D64">
        <f>Characters!D64</f>
        <v/>
      </c>
      <c r="E64">
        <f>Characters!J64</f>
        <v/>
      </c>
      <c r="AB64" t="inlineStr">
        <is>
          <t>OVR=BASE x frac+jitter au pull</t>
        </is>
      </c>
      <c r="AC64">
        <f>IF(E64&gt;=90,"legend",IF(E64&gt;=82,"star",IF(E64&gt;=70,"regular","rookie")))</f>
        <v/>
      </c>
    </row>
    <row r="65">
      <c r="A65">
        <f>Characters!Q65</f>
        <v/>
      </c>
      <c r="B65">
        <f>Characters!A65</f>
        <v/>
      </c>
      <c r="C65">
        <f>Characters!C65</f>
        <v/>
      </c>
      <c r="D65">
        <f>Characters!D65</f>
        <v/>
      </c>
      <c r="E65">
        <f>Characters!J65</f>
        <v/>
      </c>
      <c r="AB65" t="inlineStr">
        <is>
          <t>OVR=BASE x frac+jitter au pull</t>
        </is>
      </c>
      <c r="AC65">
        <f>IF(E65&gt;=90,"legend",IF(E65&gt;=82,"star",IF(E65&gt;=70,"regular","rookie")))</f>
        <v/>
      </c>
    </row>
    <row r="66">
      <c r="A66">
        <f>Characters!Q66</f>
        <v/>
      </c>
      <c r="B66">
        <f>Characters!A66</f>
        <v/>
      </c>
      <c r="C66">
        <f>Characters!C66</f>
        <v/>
      </c>
      <c r="D66">
        <f>Characters!D66</f>
        <v/>
      </c>
      <c r="E66">
        <f>Characters!J66</f>
        <v/>
      </c>
      <c r="AB66" t="inlineStr">
        <is>
          <t>OVR=BASE x frac+jitter au pull</t>
        </is>
      </c>
      <c r="AC66">
        <f>IF(E66&gt;=90,"legend",IF(E66&gt;=82,"star",IF(E66&gt;=70,"regular","rookie")))</f>
        <v/>
      </c>
    </row>
    <row r="67">
      <c r="A67">
        <f>Characters!Q67</f>
        <v/>
      </c>
      <c r="B67">
        <f>Characters!A67</f>
        <v/>
      </c>
      <c r="C67">
        <f>Characters!C67</f>
        <v/>
      </c>
      <c r="D67">
        <f>Characters!D67</f>
        <v/>
      </c>
      <c r="E67">
        <f>Characters!J67</f>
        <v/>
      </c>
      <c r="AB67" t="inlineStr">
        <is>
          <t>OVR=BASE x frac+jitter au pull</t>
        </is>
      </c>
      <c r="AC67">
        <f>IF(E67&gt;=90,"legend",IF(E67&gt;=82,"star",IF(E67&gt;=70,"regular","rookie")))</f>
        <v/>
      </c>
    </row>
    <row r="68">
      <c r="A68">
        <f>Characters!Q68</f>
        <v/>
      </c>
      <c r="B68">
        <f>Characters!A68</f>
        <v/>
      </c>
      <c r="C68">
        <f>Characters!C68</f>
        <v/>
      </c>
      <c r="D68">
        <f>Characters!D68</f>
        <v/>
      </c>
      <c r="E68">
        <f>Characters!J68</f>
        <v/>
      </c>
      <c r="AB68" t="inlineStr">
        <is>
          <t>OVR=BASE x frac+jitter au pull</t>
        </is>
      </c>
      <c r="AC68">
        <f>IF(E68&gt;=90,"legend",IF(E68&gt;=82,"star",IF(E68&gt;=70,"regular","rookie")))</f>
        <v/>
      </c>
    </row>
    <row r="69">
      <c r="A69">
        <f>Characters!Q69</f>
        <v/>
      </c>
      <c r="B69">
        <f>Characters!A69</f>
        <v/>
      </c>
      <c r="C69">
        <f>Characters!C69</f>
        <v/>
      </c>
      <c r="D69">
        <f>Characters!D69</f>
        <v/>
      </c>
      <c r="E69">
        <f>Characters!J69</f>
        <v/>
      </c>
      <c r="AB69" t="inlineStr">
        <is>
          <t>OVR=BASE x frac+jitter au pull</t>
        </is>
      </c>
      <c r="AC69">
        <f>IF(E69&gt;=90,"legend",IF(E69&gt;=82,"star",IF(E69&gt;=70,"regular","rookie")))</f>
        <v/>
      </c>
    </row>
    <row r="70">
      <c r="A70">
        <f>Characters!Q70</f>
        <v/>
      </c>
      <c r="B70">
        <f>Characters!A70</f>
        <v/>
      </c>
      <c r="C70">
        <f>Characters!C70</f>
        <v/>
      </c>
      <c r="D70">
        <f>Characters!D70</f>
        <v/>
      </c>
      <c r="E70">
        <f>Characters!J70</f>
        <v/>
      </c>
      <c r="AB70" t="inlineStr">
        <is>
          <t>OVR=BASE x frac+jitter au pull</t>
        </is>
      </c>
      <c r="AC70">
        <f>IF(E70&gt;=90,"legend",IF(E70&gt;=82,"star",IF(E70&gt;=70,"regular","rookie")))</f>
        <v/>
      </c>
    </row>
    <row r="71">
      <c r="A71">
        <f>Characters!Q71</f>
        <v/>
      </c>
      <c r="B71">
        <f>Characters!A71</f>
        <v/>
      </c>
      <c r="C71">
        <f>Characters!C71</f>
        <v/>
      </c>
      <c r="D71">
        <f>Characters!D71</f>
        <v/>
      </c>
      <c r="E71">
        <f>Characters!J71</f>
        <v/>
      </c>
      <c r="AB71" t="inlineStr">
        <is>
          <t>OVR=BASE x frac+jitter au pull</t>
        </is>
      </c>
      <c r="AC71">
        <f>IF(E71&gt;=90,"legend",IF(E71&gt;=82,"star",IF(E71&gt;=70,"regular","rookie")))</f>
        <v/>
      </c>
    </row>
    <row r="72">
      <c r="A72">
        <f>Characters!Q72</f>
        <v/>
      </c>
      <c r="B72">
        <f>Characters!A72</f>
        <v/>
      </c>
      <c r="C72">
        <f>Characters!C72</f>
        <v/>
      </c>
      <c r="D72">
        <f>Characters!D72</f>
        <v/>
      </c>
      <c r="E72">
        <f>Characters!J72</f>
        <v/>
      </c>
      <c r="AB72" t="inlineStr">
        <is>
          <t>OVR=BASE x frac+jitter au pull</t>
        </is>
      </c>
      <c r="AC72">
        <f>IF(E72&gt;=90,"legend",IF(E72&gt;=82,"star",IF(E72&gt;=70,"regular","rookie")))</f>
        <v/>
      </c>
    </row>
    <row r="73">
      <c r="A73">
        <f>Characters!Q73</f>
        <v/>
      </c>
      <c r="B73">
        <f>Characters!A73</f>
        <v/>
      </c>
      <c r="C73">
        <f>Characters!C73</f>
        <v/>
      </c>
      <c r="D73">
        <f>Characters!D73</f>
        <v/>
      </c>
      <c r="E73">
        <f>Characters!J73</f>
        <v/>
      </c>
      <c r="AB73" t="inlineStr">
        <is>
          <t>OVR=BASE x frac+jitter au pull</t>
        </is>
      </c>
      <c r="AC73">
        <f>IF(E73&gt;=90,"legend",IF(E73&gt;=82,"star",IF(E73&gt;=70,"regular","rookie")))</f>
        <v/>
      </c>
    </row>
    <row r="74">
      <c r="A74">
        <f>Characters!Q74</f>
        <v/>
      </c>
      <c r="B74">
        <f>Characters!A74</f>
        <v/>
      </c>
      <c r="C74">
        <f>Characters!C74</f>
        <v/>
      </c>
      <c r="D74">
        <f>Characters!D74</f>
        <v/>
      </c>
      <c r="E74">
        <f>Characters!J74</f>
        <v/>
      </c>
      <c r="AB74" t="inlineStr">
        <is>
          <t>OVR=BASE x frac+jitter au pull</t>
        </is>
      </c>
      <c r="AC74">
        <f>IF(E74&gt;=90,"legend",IF(E74&gt;=82,"star",IF(E74&gt;=70,"regular","rookie")))</f>
        <v/>
      </c>
    </row>
    <row r="75">
      <c r="A75">
        <f>Characters!Q75</f>
        <v/>
      </c>
      <c r="B75">
        <f>Characters!A75</f>
        <v/>
      </c>
      <c r="C75">
        <f>Characters!C75</f>
        <v/>
      </c>
      <c r="D75">
        <f>Characters!D75</f>
        <v/>
      </c>
      <c r="E75">
        <f>Characters!J75</f>
        <v/>
      </c>
      <c r="AB75" t="inlineStr">
        <is>
          <t>OVR=BASE x frac+jitter au pull</t>
        </is>
      </c>
      <c r="AC75">
        <f>IF(E75&gt;=90,"legend",IF(E75&gt;=82,"star",IF(E75&gt;=70,"regular","rookie")))</f>
        <v/>
      </c>
    </row>
    <row r="76">
      <c r="A76">
        <f>Characters!Q76</f>
        <v/>
      </c>
      <c r="B76">
        <f>Characters!A76</f>
        <v/>
      </c>
      <c r="C76">
        <f>Characters!C76</f>
        <v/>
      </c>
      <c r="D76">
        <f>Characters!D76</f>
        <v/>
      </c>
      <c r="E76">
        <f>Characters!J76</f>
        <v/>
      </c>
      <c r="AB76" t="inlineStr">
        <is>
          <t>OVR=BASE x frac+jitter au pull</t>
        </is>
      </c>
      <c r="AC76">
        <f>IF(E76&gt;=90,"legend",IF(E76&gt;=82,"star",IF(E76&gt;=70,"regular","rookie")))</f>
        <v/>
      </c>
    </row>
    <row r="77">
      <c r="A77">
        <f>Characters!Q77</f>
        <v/>
      </c>
      <c r="B77">
        <f>Characters!A77</f>
        <v/>
      </c>
      <c r="C77">
        <f>Characters!C77</f>
        <v/>
      </c>
      <c r="D77">
        <f>Characters!D77</f>
        <v/>
      </c>
      <c r="E77">
        <f>Characters!J77</f>
        <v/>
      </c>
      <c r="AB77" t="inlineStr">
        <is>
          <t>OVR=BASE x frac+jitter au pull</t>
        </is>
      </c>
      <c r="AC77">
        <f>IF(E77&gt;=90,"legend",IF(E77&gt;=82,"star",IF(E77&gt;=70,"regular","rookie")))</f>
        <v/>
      </c>
    </row>
    <row r="78">
      <c r="A78">
        <f>Characters!Q78</f>
        <v/>
      </c>
      <c r="B78">
        <f>Characters!A78</f>
        <v/>
      </c>
      <c r="C78">
        <f>Characters!C78</f>
        <v/>
      </c>
      <c r="D78">
        <f>Characters!D78</f>
        <v/>
      </c>
      <c r="E78">
        <f>Characters!J78</f>
        <v/>
      </c>
      <c r="AB78" t="inlineStr">
        <is>
          <t>OVR=BASE x frac+jitter au pull</t>
        </is>
      </c>
      <c r="AC78">
        <f>IF(E78&gt;=90,"legend",IF(E78&gt;=82,"star",IF(E78&gt;=70,"regular","rookie")))</f>
        <v/>
      </c>
    </row>
    <row r="79">
      <c r="A79">
        <f>Characters!Q79</f>
        <v/>
      </c>
      <c r="B79">
        <f>Characters!A79</f>
        <v/>
      </c>
      <c r="C79">
        <f>Characters!C79</f>
        <v/>
      </c>
      <c r="D79">
        <f>Characters!D79</f>
        <v/>
      </c>
      <c r="E79">
        <f>Characters!J79</f>
        <v/>
      </c>
      <c r="AB79" t="inlineStr">
        <is>
          <t>OVR=BASE x frac+jitter au pull</t>
        </is>
      </c>
      <c r="AC79">
        <f>IF(E79&gt;=90,"legend",IF(E79&gt;=82,"star",IF(E79&gt;=70,"regular","rookie")))</f>
        <v/>
      </c>
    </row>
    <row r="80">
      <c r="A80">
        <f>Characters!Q80</f>
        <v/>
      </c>
      <c r="B80">
        <f>Characters!A80</f>
        <v/>
      </c>
      <c r="C80">
        <f>Characters!C80</f>
        <v/>
      </c>
      <c r="D80">
        <f>Characters!D80</f>
        <v/>
      </c>
      <c r="E80">
        <f>Characters!J80</f>
        <v/>
      </c>
      <c r="AB80" t="inlineStr">
        <is>
          <t>OVR=BASE x frac+jitter au pull</t>
        </is>
      </c>
      <c r="AC80">
        <f>IF(E80&gt;=90,"legend",IF(E80&gt;=82,"star",IF(E80&gt;=70,"regular","rookie")))</f>
        <v/>
      </c>
    </row>
    <row r="81">
      <c r="A81">
        <f>Characters!Q81</f>
        <v/>
      </c>
      <c r="B81">
        <f>Characters!A81</f>
        <v/>
      </c>
      <c r="C81">
        <f>Characters!C81</f>
        <v/>
      </c>
      <c r="D81">
        <f>Characters!D81</f>
        <v/>
      </c>
      <c r="E81">
        <f>Characters!J81</f>
        <v/>
      </c>
      <c r="AB81" t="inlineStr">
        <is>
          <t>OVR=BASE x frac+jitter au pull</t>
        </is>
      </c>
      <c r="AC81">
        <f>IF(E81&gt;=90,"legend",IF(E81&gt;=82,"star",IF(E81&gt;=70,"regular","rookie")))</f>
        <v/>
      </c>
    </row>
    <row r="82">
      <c r="A82">
        <f>Characters!Q82</f>
        <v/>
      </c>
      <c r="B82">
        <f>Characters!A82</f>
        <v/>
      </c>
      <c r="C82">
        <f>Characters!C82</f>
        <v/>
      </c>
      <c r="D82">
        <f>Characters!D82</f>
        <v/>
      </c>
      <c r="E82">
        <f>Characters!J82</f>
        <v/>
      </c>
      <c r="AB82" t="inlineStr">
        <is>
          <t>OVR=BASE x frac+jitter au pull</t>
        </is>
      </c>
      <c r="AC82">
        <f>IF(E82&gt;=90,"legend",IF(E82&gt;=82,"star",IF(E82&gt;=70,"regular","rookie")))</f>
        <v/>
      </c>
    </row>
    <row r="83">
      <c r="A83">
        <f>Characters!Q83</f>
        <v/>
      </c>
      <c r="B83">
        <f>Characters!A83</f>
        <v/>
      </c>
      <c r="C83">
        <f>Characters!C83</f>
        <v/>
      </c>
      <c r="D83">
        <f>Characters!D83</f>
        <v/>
      </c>
      <c r="E83">
        <f>Characters!J83</f>
        <v/>
      </c>
      <c r="AB83" t="inlineStr">
        <is>
          <t>OVR=BASE x frac+jitter au pull</t>
        </is>
      </c>
      <c r="AC83">
        <f>IF(E83&gt;=90,"legend",IF(E83&gt;=82,"star",IF(E83&gt;=70,"regular","rookie")))</f>
        <v/>
      </c>
    </row>
    <row r="84">
      <c r="A84">
        <f>Characters!Q84</f>
        <v/>
      </c>
      <c r="B84">
        <f>Characters!A84</f>
        <v/>
      </c>
      <c r="C84">
        <f>Characters!C84</f>
        <v/>
      </c>
      <c r="D84">
        <f>Characters!D84</f>
        <v/>
      </c>
      <c r="E84">
        <f>Characters!J84</f>
        <v/>
      </c>
      <c r="AB84" t="inlineStr">
        <is>
          <t>OVR=BASE x frac+jitter au pull</t>
        </is>
      </c>
      <c r="AC84">
        <f>IF(E84&gt;=90,"legend",IF(E84&gt;=82,"star",IF(E84&gt;=70,"regular","rookie")))</f>
        <v/>
      </c>
    </row>
    <row r="85">
      <c r="A85">
        <f>Characters!Q85</f>
        <v/>
      </c>
      <c r="B85">
        <f>Characters!A85</f>
        <v/>
      </c>
      <c r="C85">
        <f>Characters!C85</f>
        <v/>
      </c>
      <c r="D85">
        <f>Characters!D85</f>
        <v/>
      </c>
      <c r="E85">
        <f>Characters!J85</f>
        <v/>
      </c>
      <c r="AB85" t="inlineStr">
        <is>
          <t>OVR=BASE x frac+jitter au pull</t>
        </is>
      </c>
      <c r="AC85">
        <f>IF(E85&gt;=90,"legend",IF(E85&gt;=82,"star",IF(E85&gt;=70,"regular","rookie")))</f>
        <v/>
      </c>
    </row>
    <row r="86">
      <c r="A86">
        <f>Characters!Q86</f>
        <v/>
      </c>
      <c r="B86">
        <f>Characters!A86</f>
        <v/>
      </c>
      <c r="C86">
        <f>Characters!C86</f>
        <v/>
      </c>
      <c r="D86">
        <f>Characters!D86</f>
        <v/>
      </c>
      <c r="E86">
        <f>Characters!J86</f>
        <v/>
      </c>
      <c r="AB86" t="inlineStr">
        <is>
          <t>OVR=BASE x frac+jitter au pull</t>
        </is>
      </c>
      <c r="AC86">
        <f>IF(E86&gt;=90,"legend",IF(E86&gt;=82,"star",IF(E86&gt;=70,"regular","rookie")))</f>
        <v/>
      </c>
    </row>
    <row r="87">
      <c r="A87">
        <f>Characters!Q87</f>
        <v/>
      </c>
      <c r="B87">
        <f>Characters!A87</f>
        <v/>
      </c>
      <c r="C87">
        <f>Characters!C87</f>
        <v/>
      </c>
      <c r="D87">
        <f>Characters!D87</f>
        <v/>
      </c>
      <c r="E87">
        <f>Characters!J87</f>
        <v/>
      </c>
      <c r="AB87" t="inlineStr">
        <is>
          <t>OVR=BASE x frac+jitter au pull</t>
        </is>
      </c>
      <c r="AC87">
        <f>IF(E87&gt;=90,"legend",IF(E87&gt;=82,"star",IF(E87&gt;=70,"regular","rookie")))</f>
        <v/>
      </c>
    </row>
    <row r="88">
      <c r="A88">
        <f>Characters!Q88</f>
        <v/>
      </c>
      <c r="B88">
        <f>Characters!A88</f>
        <v/>
      </c>
      <c r="C88">
        <f>Characters!C88</f>
        <v/>
      </c>
      <c r="D88">
        <f>Characters!D88</f>
        <v/>
      </c>
      <c r="E88">
        <f>Characters!J88</f>
        <v/>
      </c>
      <c r="AB88" t="inlineStr">
        <is>
          <t>OVR=BASE x frac+jitter au pull</t>
        </is>
      </c>
      <c r="AC88">
        <f>IF(E88&gt;=90,"legend",IF(E88&gt;=82,"star",IF(E88&gt;=70,"regular","rookie")))</f>
        <v/>
      </c>
    </row>
    <row r="89">
      <c r="A89">
        <f>Characters!Q89</f>
        <v/>
      </c>
      <c r="B89">
        <f>Characters!A89</f>
        <v/>
      </c>
      <c r="C89">
        <f>Characters!C89</f>
        <v/>
      </c>
      <c r="D89">
        <f>Characters!D89</f>
        <v/>
      </c>
      <c r="E89">
        <f>Characters!J89</f>
        <v/>
      </c>
      <c r="AB89" t="inlineStr">
        <is>
          <t>OVR=BASE x frac+jitter au pull</t>
        </is>
      </c>
      <c r="AC89">
        <f>IF(E89&gt;=90,"legend",IF(E89&gt;=82,"star",IF(E89&gt;=70,"regular","rookie")))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2" customWidth="1" min="3" max="3"/>
    <col width="11" customWidth="1" min="4" max="4"/>
    <col width="18" customWidth="1" min="5" max="5"/>
    <col width="14" customWidth="1" min="6" max="6"/>
    <col width="9" customWidth="1" min="7" max="7"/>
    <col width="16" customWidth="1" min="8" max="8"/>
  </cols>
  <sheetData>
    <row r="1">
      <c r="A1" s="1" t="inlineStr">
        <is>
          <t>id (auto)</t>
        </is>
      </c>
      <c r="B1" s="1" t="inlineStr">
        <is>
          <t>characterId (auto)</t>
        </is>
      </c>
      <c r="C1" s="1" t="inlineStr">
        <is>
          <t>editionCode</t>
        </is>
      </c>
      <c r="D1" s="1" t="inlineStr">
        <is>
          <t>rarity</t>
        </is>
      </c>
      <c r="E1" s="1" t="inlineStr">
        <is>
          <t>refCode (auto)</t>
        </is>
      </c>
      <c r="F1" s="1" t="inlineStr">
        <is>
          <t>mintCap (auto)</t>
        </is>
      </c>
      <c r="G1" s="1" t="inlineStr">
        <is>
          <t>minted</t>
        </is>
      </c>
      <c r="H1" s="1" t="inlineStr">
        <is>
          <t>skillslots (auto)</t>
        </is>
      </c>
    </row>
    <row r="2">
      <c r="A2" s="7">
        <f>LOWER(Characters!$Q2)&amp;"-s1-common"</f>
        <v/>
      </c>
      <c r="B2" s="7">
        <f>Characters!$Q2</f>
        <v/>
      </c>
      <c r="C2" s="7" t="inlineStr">
        <is>
          <t>S1</t>
        </is>
      </c>
      <c r="D2" s="7" t="inlineStr">
        <is>
          <t>common</t>
        </is>
      </c>
      <c r="E2" s="7">
        <f>Characters!$S2-"&amp;Characters!$Q2-"&amp;UPPER(LEFT("common",1))</f>
        <v/>
      </c>
      <c r="F2" s="7">
        <f>IF(D2="legendary",1000,IF(D2="secret",100,""))</f>
        <v/>
      </c>
      <c r="G2" s="7" t="n">
        <v>0</v>
      </c>
      <c r="H2" s="7">
        <f>IF(D2="common",0,IF(D2="rare",1,IF(D2="epic",2,IF(D2="legendary",3,4))))</f>
        <v/>
      </c>
    </row>
    <row r="3">
      <c r="A3" s="7">
        <f>LOWER(Characters!$Q2)&amp;"-s1-rare"</f>
        <v/>
      </c>
      <c r="B3" s="7">
        <f>Characters!$Q2</f>
        <v/>
      </c>
      <c r="C3" s="7" t="inlineStr">
        <is>
          <t>S1</t>
        </is>
      </c>
      <c r="D3" s="7" t="inlineStr">
        <is>
          <t>rare</t>
        </is>
      </c>
      <c r="E3" s="7">
        <f>Characters!$S2-"&amp;Characters!$Q2-"&amp;UPPER(LEFT("rare",1))</f>
        <v/>
      </c>
      <c r="F3" s="7">
        <f>IF(D3="legendary",1000,IF(D3="secret",100,""))</f>
        <v/>
      </c>
      <c r="G3" s="7" t="n">
        <v>0</v>
      </c>
      <c r="H3" s="7">
        <f>IF(D3="common",0,IF(D3="rare",1,IF(D3="epic",2,IF(D3="legendary",3,4))))</f>
        <v/>
      </c>
    </row>
    <row r="4">
      <c r="A4" s="7">
        <f>LOWER(Characters!$Q2)&amp;"-s1-epic"</f>
        <v/>
      </c>
      <c r="B4" s="7">
        <f>Characters!$Q2</f>
        <v/>
      </c>
      <c r="C4" s="7" t="inlineStr">
        <is>
          <t>S1</t>
        </is>
      </c>
      <c r="D4" s="7" t="inlineStr">
        <is>
          <t>epic</t>
        </is>
      </c>
      <c r="E4" s="7">
        <f>Characters!$S2-"&amp;Characters!$Q2-"&amp;UPPER(LEFT("epic",1))</f>
        <v/>
      </c>
      <c r="F4" s="7">
        <f>IF(D4="legendary",1000,IF(D4="secret",100,""))</f>
        <v/>
      </c>
      <c r="G4" s="7" t="n">
        <v>0</v>
      </c>
      <c r="H4" s="7">
        <f>IF(D4="common",0,IF(D4="rare",1,IF(D4="epic",2,IF(D4="legendary",3,4))))</f>
        <v/>
      </c>
    </row>
    <row r="5">
      <c r="A5" s="7">
        <f>LOWER(Characters!$Q2)&amp;"-s1-legendary"</f>
        <v/>
      </c>
      <c r="B5" s="7">
        <f>Characters!$Q2</f>
        <v/>
      </c>
      <c r="C5" s="7" t="inlineStr">
        <is>
          <t>S1</t>
        </is>
      </c>
      <c r="D5" s="7" t="inlineStr">
        <is>
          <t>legendary</t>
        </is>
      </c>
      <c r="E5" s="7">
        <f>Characters!$S2-"&amp;Characters!$Q2-"&amp;UPPER(LEFT("legendary",1))</f>
        <v/>
      </c>
      <c r="F5" s="7">
        <f>IF(D5="legendary",1000,IF(D5="secret",100,""))</f>
        <v/>
      </c>
      <c r="G5" s="7" t="n">
        <v>0</v>
      </c>
      <c r="H5" s="7">
        <f>IF(D5="common",0,IF(D5="rare",1,IF(D5="epic",2,IF(D5="legendary",3,4))))</f>
        <v/>
      </c>
    </row>
    <row r="6">
      <c r="A6" s="7">
        <f>LOWER(Characters!$Q2)&amp;"-s1-secret"</f>
        <v/>
      </c>
      <c r="B6" s="7">
        <f>Characters!$Q2</f>
        <v/>
      </c>
      <c r="C6" s="7" t="inlineStr">
        <is>
          <t>S1</t>
        </is>
      </c>
      <c r="D6" s="7" t="inlineStr">
        <is>
          <t>secret</t>
        </is>
      </c>
      <c r="E6" s="7">
        <f>Characters!$S2-"&amp;Characters!$Q2-"&amp;UPPER(LEFT("secret",1))</f>
        <v/>
      </c>
      <c r="F6" s="7">
        <f>IF(D6="legendary",1000,IF(D6="secret",100,""))</f>
        <v/>
      </c>
      <c r="G6" s="7" t="n">
        <v>0</v>
      </c>
      <c r="H6" s="7">
        <f>IF(D6="common",0,IF(D6="rare",1,IF(D6="epic",2,IF(D6="legendary",3,4))))</f>
        <v/>
      </c>
    </row>
    <row r="7">
      <c r="A7" s="7">
        <f>LOWER(Characters!$Q3)&amp;"-s1-common"</f>
        <v/>
      </c>
      <c r="B7" s="7">
        <f>Characters!$Q3</f>
        <v/>
      </c>
      <c r="C7" s="7" t="inlineStr">
        <is>
          <t>S1</t>
        </is>
      </c>
      <c r="D7" s="7" t="inlineStr">
        <is>
          <t>common</t>
        </is>
      </c>
      <c r="E7" s="7">
        <f>Characters!$S3-"&amp;Characters!$Q3-"&amp;UPPER(LEFT("common",1))</f>
        <v/>
      </c>
      <c r="F7" s="7">
        <f>IF(D7="legendary",1000,IF(D7="secret",100,""))</f>
        <v/>
      </c>
      <c r="G7" s="7" t="n">
        <v>0</v>
      </c>
      <c r="H7" s="7">
        <f>IF(D7="common",0,IF(D7="rare",1,IF(D7="epic",2,IF(D7="legendary",3,4))))</f>
        <v/>
      </c>
    </row>
    <row r="8">
      <c r="A8" s="7">
        <f>LOWER(Characters!$Q3)&amp;"-s1-rare"</f>
        <v/>
      </c>
      <c r="B8" s="7">
        <f>Characters!$Q3</f>
        <v/>
      </c>
      <c r="C8" s="7" t="inlineStr">
        <is>
          <t>S1</t>
        </is>
      </c>
      <c r="D8" s="7" t="inlineStr">
        <is>
          <t>rare</t>
        </is>
      </c>
      <c r="E8" s="7">
        <f>Characters!$S3-"&amp;Characters!$Q3-"&amp;UPPER(LEFT("rare",1))</f>
        <v/>
      </c>
      <c r="F8" s="7">
        <f>IF(D8="legendary",1000,IF(D8="secret",100,""))</f>
        <v/>
      </c>
      <c r="G8" s="7" t="n">
        <v>0</v>
      </c>
      <c r="H8" s="7">
        <f>IF(D8="common",0,IF(D8="rare",1,IF(D8="epic",2,IF(D8="legendary",3,4))))</f>
        <v/>
      </c>
    </row>
    <row r="9">
      <c r="A9" s="7">
        <f>LOWER(Characters!$Q3)&amp;"-s1-epic"</f>
        <v/>
      </c>
      <c r="B9" s="7">
        <f>Characters!$Q3</f>
        <v/>
      </c>
      <c r="C9" s="7" t="inlineStr">
        <is>
          <t>S1</t>
        </is>
      </c>
      <c r="D9" s="7" t="inlineStr">
        <is>
          <t>epic</t>
        </is>
      </c>
      <c r="E9" s="7">
        <f>Characters!$S3-"&amp;Characters!$Q3-"&amp;UPPER(LEFT("epic",1))</f>
        <v/>
      </c>
      <c r="F9" s="7">
        <f>IF(D9="legendary",1000,IF(D9="secret",100,""))</f>
        <v/>
      </c>
      <c r="G9" s="7" t="n">
        <v>0</v>
      </c>
      <c r="H9" s="7">
        <f>IF(D9="common",0,IF(D9="rare",1,IF(D9="epic",2,IF(D9="legendary",3,4))))</f>
        <v/>
      </c>
    </row>
    <row r="10">
      <c r="A10" s="7">
        <f>LOWER(Characters!$Q3)&amp;"-s1-legendary"</f>
        <v/>
      </c>
      <c r="B10" s="7">
        <f>Characters!$Q3</f>
        <v/>
      </c>
      <c r="C10" s="7" t="inlineStr">
        <is>
          <t>S1</t>
        </is>
      </c>
      <c r="D10" s="7" t="inlineStr">
        <is>
          <t>legendary</t>
        </is>
      </c>
      <c r="E10" s="7">
        <f>Characters!$S3-"&amp;Characters!$Q3-"&amp;UPPER(LEFT("legendary",1))</f>
        <v/>
      </c>
      <c r="F10" s="7">
        <f>IF(D10="legendary",1000,IF(D10="secret",100,""))</f>
        <v/>
      </c>
      <c r="G10" s="7" t="n">
        <v>0</v>
      </c>
      <c r="H10" s="7">
        <f>IF(D10="common",0,IF(D10="rare",1,IF(D10="epic",2,IF(D10="legendary",3,4))))</f>
        <v/>
      </c>
    </row>
    <row r="11">
      <c r="A11" s="7">
        <f>LOWER(Characters!$Q3)&amp;"-s1-secret"</f>
        <v/>
      </c>
      <c r="B11" s="7">
        <f>Characters!$Q3</f>
        <v/>
      </c>
      <c r="C11" s="7" t="inlineStr">
        <is>
          <t>S1</t>
        </is>
      </c>
      <c r="D11" s="7" t="inlineStr">
        <is>
          <t>secret</t>
        </is>
      </c>
      <c r="E11" s="7">
        <f>Characters!$S3-"&amp;Characters!$Q3-"&amp;UPPER(LEFT("secret",1))</f>
        <v/>
      </c>
      <c r="F11" s="7">
        <f>IF(D11="legendary",1000,IF(D11="secret",100,""))</f>
        <v/>
      </c>
      <c r="G11" s="7" t="n">
        <v>0</v>
      </c>
      <c r="H11" s="7">
        <f>IF(D11="common",0,IF(D11="rare",1,IF(D11="epic",2,IF(D11="legendary",3,4))))</f>
        <v/>
      </c>
    </row>
    <row r="12">
      <c r="A12" s="7">
        <f>LOWER(Characters!$Q4)&amp;"-s1-common"</f>
        <v/>
      </c>
      <c r="B12" s="7">
        <f>Characters!$Q4</f>
        <v/>
      </c>
      <c r="C12" s="7" t="inlineStr">
        <is>
          <t>S1</t>
        </is>
      </c>
      <c r="D12" s="7" t="inlineStr">
        <is>
          <t>common</t>
        </is>
      </c>
      <c r="E12" s="7">
        <f>Characters!$S4-"&amp;Characters!$Q4-"&amp;UPPER(LEFT("common",1))</f>
        <v/>
      </c>
      <c r="F12" s="7">
        <f>IF(D12="legendary",1000,IF(D12="secret",100,""))</f>
        <v/>
      </c>
      <c r="G12" s="7" t="n">
        <v>0</v>
      </c>
      <c r="H12" s="7">
        <f>IF(D12="common",0,IF(D12="rare",1,IF(D12="epic",2,IF(D12="legendary",3,4))))</f>
        <v/>
      </c>
    </row>
    <row r="13">
      <c r="A13" s="7">
        <f>LOWER(Characters!$Q4)&amp;"-s1-rare"</f>
        <v/>
      </c>
      <c r="B13" s="7">
        <f>Characters!$Q4</f>
        <v/>
      </c>
      <c r="C13" s="7" t="inlineStr">
        <is>
          <t>S1</t>
        </is>
      </c>
      <c r="D13" s="7" t="inlineStr">
        <is>
          <t>rare</t>
        </is>
      </c>
      <c r="E13" s="7">
        <f>Characters!$S4-"&amp;Characters!$Q4-"&amp;UPPER(LEFT("rare",1))</f>
        <v/>
      </c>
      <c r="F13" s="7">
        <f>IF(D13="legendary",1000,IF(D13="secret",100,""))</f>
        <v/>
      </c>
      <c r="G13" s="7" t="n">
        <v>0</v>
      </c>
      <c r="H13" s="7">
        <f>IF(D13="common",0,IF(D13="rare",1,IF(D13="epic",2,IF(D13="legendary",3,4))))</f>
        <v/>
      </c>
    </row>
    <row r="14">
      <c r="A14" s="7">
        <f>LOWER(Characters!$Q4)&amp;"-s1-epic"</f>
        <v/>
      </c>
      <c r="B14" s="7">
        <f>Characters!$Q4</f>
        <v/>
      </c>
      <c r="C14" s="7" t="inlineStr">
        <is>
          <t>S1</t>
        </is>
      </c>
      <c r="D14" s="7" t="inlineStr">
        <is>
          <t>epic</t>
        </is>
      </c>
      <c r="E14" s="7">
        <f>Characters!$S4-"&amp;Characters!$Q4-"&amp;UPPER(LEFT("epic",1))</f>
        <v/>
      </c>
      <c r="F14" s="7">
        <f>IF(D14="legendary",1000,IF(D14="secret",100,""))</f>
        <v/>
      </c>
      <c r="G14" s="7" t="n">
        <v>0</v>
      </c>
      <c r="H14" s="7">
        <f>IF(D14="common",0,IF(D14="rare",1,IF(D14="epic",2,IF(D14="legendary",3,4))))</f>
        <v/>
      </c>
    </row>
    <row r="15">
      <c r="A15" s="7">
        <f>LOWER(Characters!$Q4)&amp;"-s1-legendary"</f>
        <v/>
      </c>
      <c r="B15" s="7">
        <f>Characters!$Q4</f>
        <v/>
      </c>
      <c r="C15" s="7" t="inlineStr">
        <is>
          <t>S1</t>
        </is>
      </c>
      <c r="D15" s="7" t="inlineStr">
        <is>
          <t>legendary</t>
        </is>
      </c>
      <c r="E15" s="7">
        <f>Characters!$S4-"&amp;Characters!$Q4-"&amp;UPPER(LEFT("legendary",1))</f>
        <v/>
      </c>
      <c r="F15" s="7">
        <f>IF(D15="legendary",1000,IF(D15="secret",100,""))</f>
        <v/>
      </c>
      <c r="G15" s="7" t="n">
        <v>0</v>
      </c>
      <c r="H15" s="7">
        <f>IF(D15="common",0,IF(D15="rare",1,IF(D15="epic",2,IF(D15="legendary",3,4))))</f>
        <v/>
      </c>
    </row>
    <row r="16">
      <c r="A16" s="7">
        <f>LOWER(Characters!$Q4)&amp;"-s1-secret"</f>
        <v/>
      </c>
      <c r="B16" s="7">
        <f>Characters!$Q4</f>
        <v/>
      </c>
      <c r="C16" s="7" t="inlineStr">
        <is>
          <t>S1</t>
        </is>
      </c>
      <c r="D16" s="7" t="inlineStr">
        <is>
          <t>secret</t>
        </is>
      </c>
      <c r="E16" s="7">
        <f>Characters!$S4-"&amp;Characters!$Q4-"&amp;UPPER(LEFT("secret",1))</f>
        <v/>
      </c>
      <c r="F16" s="7">
        <f>IF(D16="legendary",1000,IF(D16="secret",100,""))</f>
        <v/>
      </c>
      <c r="G16" s="7" t="n">
        <v>0</v>
      </c>
      <c r="H16" s="7">
        <f>IF(D16="common",0,IF(D16="rare",1,IF(D16="epic",2,IF(D16="legendary",3,4))))</f>
        <v/>
      </c>
    </row>
    <row r="17">
      <c r="A17" s="7">
        <f>LOWER(Characters!$Q5)&amp;"-s1-common"</f>
        <v/>
      </c>
      <c r="B17" s="7">
        <f>Characters!$Q5</f>
        <v/>
      </c>
      <c r="C17" s="7" t="inlineStr">
        <is>
          <t>S1</t>
        </is>
      </c>
      <c r="D17" s="7" t="inlineStr">
        <is>
          <t>common</t>
        </is>
      </c>
      <c r="E17" s="7">
        <f>Characters!$S5-"&amp;Characters!$Q5-"&amp;UPPER(LEFT("common",1))</f>
        <v/>
      </c>
      <c r="F17" s="7">
        <f>IF(D17="legendary",1000,IF(D17="secret",100,""))</f>
        <v/>
      </c>
      <c r="G17" s="7" t="n">
        <v>0</v>
      </c>
      <c r="H17" s="7">
        <f>IF(D17="common",0,IF(D17="rare",1,IF(D17="epic",2,IF(D17="legendary",3,4))))</f>
        <v/>
      </c>
    </row>
    <row r="18">
      <c r="A18" s="7">
        <f>LOWER(Characters!$Q5)&amp;"-s1-rare"</f>
        <v/>
      </c>
      <c r="B18" s="7">
        <f>Characters!$Q5</f>
        <v/>
      </c>
      <c r="C18" s="7" t="inlineStr">
        <is>
          <t>S1</t>
        </is>
      </c>
      <c r="D18" s="7" t="inlineStr">
        <is>
          <t>rare</t>
        </is>
      </c>
      <c r="E18" s="7">
        <f>Characters!$S5-"&amp;Characters!$Q5-"&amp;UPPER(LEFT("rare",1))</f>
        <v/>
      </c>
      <c r="F18" s="7">
        <f>IF(D18="legendary",1000,IF(D18="secret",100,""))</f>
        <v/>
      </c>
      <c r="G18" s="7" t="n">
        <v>0</v>
      </c>
      <c r="H18" s="7">
        <f>IF(D18="common",0,IF(D18="rare",1,IF(D18="epic",2,IF(D18="legendary",3,4))))</f>
        <v/>
      </c>
    </row>
    <row r="19">
      <c r="A19" s="7">
        <f>LOWER(Characters!$Q5)&amp;"-s1-epic"</f>
        <v/>
      </c>
      <c r="B19" s="7">
        <f>Characters!$Q5</f>
        <v/>
      </c>
      <c r="C19" s="7" t="inlineStr">
        <is>
          <t>S1</t>
        </is>
      </c>
      <c r="D19" s="7" t="inlineStr">
        <is>
          <t>epic</t>
        </is>
      </c>
      <c r="E19" s="7">
        <f>Characters!$S5-"&amp;Characters!$Q5-"&amp;UPPER(LEFT("epic",1))</f>
        <v/>
      </c>
      <c r="F19" s="7">
        <f>IF(D19="legendary",1000,IF(D19="secret",100,""))</f>
        <v/>
      </c>
      <c r="G19" s="7" t="n">
        <v>0</v>
      </c>
      <c r="H19" s="7">
        <f>IF(D19="common",0,IF(D19="rare",1,IF(D19="epic",2,IF(D19="legendary",3,4))))</f>
        <v/>
      </c>
    </row>
    <row r="20">
      <c r="A20" s="7">
        <f>LOWER(Characters!$Q5)&amp;"-s1-legendary"</f>
        <v/>
      </c>
      <c r="B20" s="7">
        <f>Characters!$Q5</f>
        <v/>
      </c>
      <c r="C20" s="7" t="inlineStr">
        <is>
          <t>S1</t>
        </is>
      </c>
      <c r="D20" s="7" t="inlineStr">
        <is>
          <t>legendary</t>
        </is>
      </c>
      <c r="E20" s="7">
        <f>Characters!$S5-"&amp;Characters!$Q5-"&amp;UPPER(LEFT("legendary",1))</f>
        <v/>
      </c>
      <c r="F20" s="7">
        <f>IF(D20="legendary",1000,IF(D20="secret",100,""))</f>
        <v/>
      </c>
      <c r="G20" s="7" t="n">
        <v>0</v>
      </c>
      <c r="H20" s="7">
        <f>IF(D20="common",0,IF(D20="rare",1,IF(D20="epic",2,IF(D20="legendary",3,4))))</f>
        <v/>
      </c>
    </row>
    <row r="21">
      <c r="A21" s="7">
        <f>LOWER(Characters!$Q5)&amp;"-s1-secret"</f>
        <v/>
      </c>
      <c r="B21" s="7">
        <f>Characters!$Q5</f>
        <v/>
      </c>
      <c r="C21" s="7" t="inlineStr">
        <is>
          <t>S1</t>
        </is>
      </c>
      <c r="D21" s="7" t="inlineStr">
        <is>
          <t>secret</t>
        </is>
      </c>
      <c r="E21" s="7">
        <f>Characters!$S5-"&amp;Characters!$Q5-"&amp;UPPER(LEFT("secret",1))</f>
        <v/>
      </c>
      <c r="F21" s="7">
        <f>IF(D21="legendary",1000,IF(D21="secret",100,""))</f>
        <v/>
      </c>
      <c r="G21" s="7" t="n">
        <v>0</v>
      </c>
      <c r="H21" s="7">
        <f>IF(D21="common",0,IF(D21="rare",1,IF(D21="epic",2,IF(D21="legendary",3,4))))</f>
        <v/>
      </c>
    </row>
    <row r="22">
      <c r="A22" s="7">
        <f>LOWER(Characters!$Q6)&amp;"-s1-common"</f>
        <v/>
      </c>
      <c r="B22" s="7">
        <f>Characters!$Q6</f>
        <v/>
      </c>
      <c r="C22" s="7" t="inlineStr">
        <is>
          <t>S1</t>
        </is>
      </c>
      <c r="D22" s="7" t="inlineStr">
        <is>
          <t>common</t>
        </is>
      </c>
      <c r="E22" s="7">
        <f>Characters!$S6-"&amp;Characters!$Q6-"&amp;UPPER(LEFT("common",1))</f>
        <v/>
      </c>
      <c r="F22" s="7">
        <f>IF(D22="legendary",1000,IF(D22="secret",100,""))</f>
        <v/>
      </c>
      <c r="G22" s="7" t="n">
        <v>0</v>
      </c>
      <c r="H22" s="7">
        <f>IF(D22="common",0,IF(D22="rare",1,IF(D22="epic",2,IF(D22="legendary",3,4))))</f>
        <v/>
      </c>
    </row>
    <row r="23">
      <c r="A23" s="7">
        <f>LOWER(Characters!$Q6)&amp;"-s1-rare"</f>
        <v/>
      </c>
      <c r="B23" s="7">
        <f>Characters!$Q6</f>
        <v/>
      </c>
      <c r="C23" s="7" t="inlineStr">
        <is>
          <t>S1</t>
        </is>
      </c>
      <c r="D23" s="7" t="inlineStr">
        <is>
          <t>rare</t>
        </is>
      </c>
      <c r="E23" s="7">
        <f>Characters!$S6-"&amp;Characters!$Q6-"&amp;UPPER(LEFT("rare",1))</f>
        <v/>
      </c>
      <c r="F23" s="7">
        <f>IF(D23="legendary",1000,IF(D23="secret",100,""))</f>
        <v/>
      </c>
      <c r="G23" s="7" t="n">
        <v>0</v>
      </c>
      <c r="H23" s="7">
        <f>IF(D23="common",0,IF(D23="rare",1,IF(D23="epic",2,IF(D23="legendary",3,4))))</f>
        <v/>
      </c>
    </row>
    <row r="24">
      <c r="A24" s="7">
        <f>LOWER(Characters!$Q6)&amp;"-s1-epic"</f>
        <v/>
      </c>
      <c r="B24" s="7">
        <f>Characters!$Q6</f>
        <v/>
      </c>
      <c r="C24" s="7" t="inlineStr">
        <is>
          <t>S1</t>
        </is>
      </c>
      <c r="D24" s="7" t="inlineStr">
        <is>
          <t>epic</t>
        </is>
      </c>
      <c r="E24" s="7">
        <f>Characters!$S6-"&amp;Characters!$Q6-"&amp;UPPER(LEFT("epic",1))</f>
        <v/>
      </c>
      <c r="F24" s="7">
        <f>IF(D24="legendary",1000,IF(D24="secret",100,""))</f>
        <v/>
      </c>
      <c r="G24" s="7" t="n">
        <v>0</v>
      </c>
      <c r="H24" s="7">
        <f>IF(D24="common",0,IF(D24="rare",1,IF(D24="epic",2,IF(D24="legendary",3,4))))</f>
        <v/>
      </c>
    </row>
    <row r="25">
      <c r="A25" s="7">
        <f>LOWER(Characters!$Q6)&amp;"-s1-legendary"</f>
        <v/>
      </c>
      <c r="B25" s="7">
        <f>Characters!$Q6</f>
        <v/>
      </c>
      <c r="C25" s="7" t="inlineStr">
        <is>
          <t>S1</t>
        </is>
      </c>
      <c r="D25" s="7" t="inlineStr">
        <is>
          <t>legendary</t>
        </is>
      </c>
      <c r="E25" s="7">
        <f>Characters!$S6-"&amp;Characters!$Q6-"&amp;UPPER(LEFT("legendary",1))</f>
        <v/>
      </c>
      <c r="F25" s="7">
        <f>IF(D25="legendary",1000,IF(D25="secret",100,""))</f>
        <v/>
      </c>
      <c r="G25" s="7" t="n">
        <v>0</v>
      </c>
      <c r="H25" s="7">
        <f>IF(D25="common",0,IF(D25="rare",1,IF(D25="epic",2,IF(D25="legendary",3,4))))</f>
        <v/>
      </c>
    </row>
    <row r="26">
      <c r="A26" s="7">
        <f>LOWER(Characters!$Q6)&amp;"-s1-secret"</f>
        <v/>
      </c>
      <c r="B26" s="7">
        <f>Characters!$Q6</f>
        <v/>
      </c>
      <c r="C26" s="7" t="inlineStr">
        <is>
          <t>S1</t>
        </is>
      </c>
      <c r="D26" s="7" t="inlineStr">
        <is>
          <t>secret</t>
        </is>
      </c>
      <c r="E26" s="7">
        <f>Characters!$S6-"&amp;Characters!$Q6-"&amp;UPPER(LEFT("secret",1))</f>
        <v/>
      </c>
      <c r="F26" s="7">
        <f>IF(D26="legendary",1000,IF(D26="secret",100,""))</f>
        <v/>
      </c>
      <c r="G26" s="7" t="n">
        <v>0</v>
      </c>
      <c r="H26" s="7">
        <f>IF(D26="common",0,IF(D26="rare",1,IF(D26="epic",2,IF(D26="legendary",3,4))))</f>
        <v/>
      </c>
    </row>
    <row r="27">
      <c r="A27" s="7">
        <f>LOWER(Characters!$Q7)&amp;"-s1-common"</f>
        <v/>
      </c>
      <c r="B27" s="7">
        <f>Characters!$Q7</f>
        <v/>
      </c>
      <c r="C27" s="7" t="inlineStr">
        <is>
          <t>S1</t>
        </is>
      </c>
      <c r="D27" s="7" t="inlineStr">
        <is>
          <t>common</t>
        </is>
      </c>
      <c r="E27" s="7">
        <f>Characters!$S7-"&amp;Characters!$Q7-"&amp;UPPER(LEFT("common",1))</f>
        <v/>
      </c>
      <c r="F27" s="7">
        <f>IF(D27="legendary",1000,IF(D27="secret",100,""))</f>
        <v/>
      </c>
      <c r="G27" s="7" t="n">
        <v>0</v>
      </c>
      <c r="H27" s="7">
        <f>IF(D27="common",0,IF(D27="rare",1,IF(D27="epic",2,IF(D27="legendary",3,4))))</f>
        <v/>
      </c>
    </row>
    <row r="28">
      <c r="A28" s="7">
        <f>LOWER(Characters!$Q7)&amp;"-s1-rare"</f>
        <v/>
      </c>
      <c r="B28" s="7">
        <f>Characters!$Q7</f>
        <v/>
      </c>
      <c r="C28" s="7" t="inlineStr">
        <is>
          <t>S1</t>
        </is>
      </c>
      <c r="D28" s="7" t="inlineStr">
        <is>
          <t>rare</t>
        </is>
      </c>
      <c r="E28" s="7">
        <f>Characters!$S7-"&amp;Characters!$Q7-"&amp;UPPER(LEFT("rare",1))</f>
        <v/>
      </c>
      <c r="F28" s="7">
        <f>IF(D28="legendary",1000,IF(D28="secret",100,""))</f>
        <v/>
      </c>
      <c r="G28" s="7" t="n">
        <v>0</v>
      </c>
      <c r="H28" s="7">
        <f>IF(D28="common",0,IF(D28="rare",1,IF(D28="epic",2,IF(D28="legendary",3,4))))</f>
        <v/>
      </c>
    </row>
    <row r="29">
      <c r="A29" s="7">
        <f>LOWER(Characters!$Q7)&amp;"-s1-epic"</f>
        <v/>
      </c>
      <c r="B29" s="7">
        <f>Characters!$Q7</f>
        <v/>
      </c>
      <c r="C29" s="7" t="inlineStr">
        <is>
          <t>S1</t>
        </is>
      </c>
      <c r="D29" s="7" t="inlineStr">
        <is>
          <t>epic</t>
        </is>
      </c>
      <c r="E29" s="7">
        <f>Characters!$S7-"&amp;Characters!$Q7-"&amp;UPPER(LEFT("epic",1))</f>
        <v/>
      </c>
      <c r="F29" s="7">
        <f>IF(D29="legendary",1000,IF(D29="secret",100,""))</f>
        <v/>
      </c>
      <c r="G29" s="7" t="n">
        <v>0</v>
      </c>
      <c r="H29" s="7">
        <f>IF(D29="common",0,IF(D29="rare",1,IF(D29="epic",2,IF(D29="legendary",3,4))))</f>
        <v/>
      </c>
    </row>
    <row r="30">
      <c r="A30" s="7">
        <f>LOWER(Characters!$Q7)&amp;"-s1-legendary"</f>
        <v/>
      </c>
      <c r="B30" s="7">
        <f>Characters!$Q7</f>
        <v/>
      </c>
      <c r="C30" s="7" t="inlineStr">
        <is>
          <t>S1</t>
        </is>
      </c>
      <c r="D30" s="7" t="inlineStr">
        <is>
          <t>legendary</t>
        </is>
      </c>
      <c r="E30" s="7">
        <f>Characters!$S7-"&amp;Characters!$Q7-"&amp;UPPER(LEFT("legendary",1))</f>
        <v/>
      </c>
      <c r="F30" s="7">
        <f>IF(D30="legendary",1000,IF(D30="secret",100,""))</f>
        <v/>
      </c>
      <c r="G30" s="7" t="n">
        <v>0</v>
      </c>
      <c r="H30" s="7">
        <f>IF(D30="common",0,IF(D30="rare",1,IF(D30="epic",2,IF(D30="legendary",3,4))))</f>
        <v/>
      </c>
    </row>
    <row r="31">
      <c r="A31" s="7">
        <f>LOWER(Characters!$Q7)&amp;"-s1-secret"</f>
        <v/>
      </c>
      <c r="B31" s="7">
        <f>Characters!$Q7</f>
        <v/>
      </c>
      <c r="C31" s="7" t="inlineStr">
        <is>
          <t>S1</t>
        </is>
      </c>
      <c r="D31" s="7" t="inlineStr">
        <is>
          <t>secret</t>
        </is>
      </c>
      <c r="E31" s="7">
        <f>Characters!$S7-"&amp;Characters!$Q7-"&amp;UPPER(LEFT("secret",1))</f>
        <v/>
      </c>
      <c r="F31" s="7">
        <f>IF(D31="legendary",1000,IF(D31="secret",100,""))</f>
        <v/>
      </c>
      <c r="G31" s="7" t="n">
        <v>0</v>
      </c>
      <c r="H31" s="7">
        <f>IF(D31="common",0,IF(D31="rare",1,IF(D31="epic",2,IF(D31="legendary",3,4))))</f>
        <v/>
      </c>
    </row>
    <row r="32">
      <c r="A32" s="7">
        <f>LOWER(Characters!$Q8)&amp;"-s1-common"</f>
        <v/>
      </c>
      <c r="B32" s="7">
        <f>Characters!$Q8</f>
        <v/>
      </c>
      <c r="C32" s="7" t="inlineStr">
        <is>
          <t>S1</t>
        </is>
      </c>
      <c r="D32" s="7" t="inlineStr">
        <is>
          <t>common</t>
        </is>
      </c>
      <c r="E32" s="7">
        <f>Characters!$S8-"&amp;Characters!$Q8-"&amp;UPPER(LEFT("common",1))</f>
        <v/>
      </c>
      <c r="F32" s="7">
        <f>IF(D32="legendary",1000,IF(D32="secret",100,""))</f>
        <v/>
      </c>
      <c r="G32" s="7" t="n">
        <v>0</v>
      </c>
      <c r="H32" s="7">
        <f>IF(D32="common",0,IF(D32="rare",1,IF(D32="epic",2,IF(D32="legendary",3,4))))</f>
        <v/>
      </c>
    </row>
    <row r="33">
      <c r="A33" s="7">
        <f>LOWER(Characters!$Q8)&amp;"-s1-rare"</f>
        <v/>
      </c>
      <c r="B33" s="7">
        <f>Characters!$Q8</f>
        <v/>
      </c>
      <c r="C33" s="7" t="inlineStr">
        <is>
          <t>S1</t>
        </is>
      </c>
      <c r="D33" s="7" t="inlineStr">
        <is>
          <t>rare</t>
        </is>
      </c>
      <c r="E33" s="7">
        <f>Characters!$S8-"&amp;Characters!$Q8-"&amp;UPPER(LEFT("rare",1))</f>
        <v/>
      </c>
      <c r="F33" s="7">
        <f>IF(D33="legendary",1000,IF(D33="secret",100,""))</f>
        <v/>
      </c>
      <c r="G33" s="7" t="n">
        <v>0</v>
      </c>
      <c r="H33" s="7">
        <f>IF(D33="common",0,IF(D33="rare",1,IF(D33="epic",2,IF(D33="legendary",3,4))))</f>
        <v/>
      </c>
    </row>
    <row r="34">
      <c r="A34" s="7">
        <f>LOWER(Characters!$Q8)&amp;"-s1-epic"</f>
        <v/>
      </c>
      <c r="B34" s="7">
        <f>Characters!$Q8</f>
        <v/>
      </c>
      <c r="C34" s="7" t="inlineStr">
        <is>
          <t>S1</t>
        </is>
      </c>
      <c r="D34" s="7" t="inlineStr">
        <is>
          <t>epic</t>
        </is>
      </c>
      <c r="E34" s="7">
        <f>Characters!$S8-"&amp;Characters!$Q8-"&amp;UPPER(LEFT("epic",1))</f>
        <v/>
      </c>
      <c r="F34" s="7">
        <f>IF(D34="legendary",1000,IF(D34="secret",100,""))</f>
        <v/>
      </c>
      <c r="G34" s="7" t="n">
        <v>0</v>
      </c>
      <c r="H34" s="7">
        <f>IF(D34="common",0,IF(D34="rare",1,IF(D34="epic",2,IF(D34="legendary",3,4))))</f>
        <v/>
      </c>
    </row>
    <row r="35">
      <c r="A35" s="7">
        <f>LOWER(Characters!$Q8)&amp;"-s1-legendary"</f>
        <v/>
      </c>
      <c r="B35" s="7">
        <f>Characters!$Q8</f>
        <v/>
      </c>
      <c r="C35" s="7" t="inlineStr">
        <is>
          <t>S1</t>
        </is>
      </c>
      <c r="D35" s="7" t="inlineStr">
        <is>
          <t>legendary</t>
        </is>
      </c>
      <c r="E35" s="7">
        <f>Characters!$S8-"&amp;Characters!$Q8-"&amp;UPPER(LEFT("legendary",1))</f>
        <v/>
      </c>
      <c r="F35" s="7">
        <f>IF(D35="legendary",1000,IF(D35="secret",100,""))</f>
        <v/>
      </c>
      <c r="G35" s="7" t="n">
        <v>0</v>
      </c>
      <c r="H35" s="7">
        <f>IF(D35="common",0,IF(D35="rare",1,IF(D35="epic",2,IF(D35="legendary",3,4))))</f>
        <v/>
      </c>
    </row>
    <row r="36">
      <c r="A36" s="7">
        <f>LOWER(Characters!$Q8)&amp;"-s1-secret"</f>
        <v/>
      </c>
      <c r="B36" s="7">
        <f>Characters!$Q8</f>
        <v/>
      </c>
      <c r="C36" s="7" t="inlineStr">
        <is>
          <t>S1</t>
        </is>
      </c>
      <c r="D36" s="7" t="inlineStr">
        <is>
          <t>secret</t>
        </is>
      </c>
      <c r="E36" s="7">
        <f>Characters!$S8-"&amp;Characters!$Q8-"&amp;UPPER(LEFT("secret",1))</f>
        <v/>
      </c>
      <c r="F36" s="7">
        <f>IF(D36="legendary",1000,IF(D36="secret",100,""))</f>
        <v/>
      </c>
      <c r="G36" s="7" t="n">
        <v>0</v>
      </c>
      <c r="H36" s="7">
        <f>IF(D36="common",0,IF(D36="rare",1,IF(D36="epic",2,IF(D36="legendary",3,4))))</f>
        <v/>
      </c>
    </row>
    <row r="37">
      <c r="A37" s="7">
        <f>LOWER(Characters!$Q9)&amp;"-s1-common"</f>
        <v/>
      </c>
      <c r="B37" s="7">
        <f>Characters!$Q9</f>
        <v/>
      </c>
      <c r="C37" s="7" t="inlineStr">
        <is>
          <t>S1</t>
        </is>
      </c>
      <c r="D37" s="7" t="inlineStr">
        <is>
          <t>common</t>
        </is>
      </c>
      <c r="E37" s="7">
        <f>Characters!$S9-"&amp;Characters!$Q9-"&amp;UPPER(LEFT("common",1))</f>
        <v/>
      </c>
      <c r="F37" s="7">
        <f>IF(D37="legendary",1000,IF(D37="secret",100,""))</f>
        <v/>
      </c>
      <c r="G37" s="7" t="n">
        <v>0</v>
      </c>
      <c r="H37" s="7">
        <f>IF(D37="common",0,IF(D37="rare",1,IF(D37="epic",2,IF(D37="legendary",3,4))))</f>
        <v/>
      </c>
    </row>
    <row r="38">
      <c r="A38" s="7">
        <f>LOWER(Characters!$Q9)&amp;"-s1-rare"</f>
        <v/>
      </c>
      <c r="B38" s="7">
        <f>Characters!$Q9</f>
        <v/>
      </c>
      <c r="C38" s="7" t="inlineStr">
        <is>
          <t>S1</t>
        </is>
      </c>
      <c r="D38" s="7" t="inlineStr">
        <is>
          <t>rare</t>
        </is>
      </c>
      <c r="E38" s="7">
        <f>Characters!$S9-"&amp;Characters!$Q9-"&amp;UPPER(LEFT("rare",1))</f>
        <v/>
      </c>
      <c r="F38" s="7">
        <f>IF(D38="legendary",1000,IF(D38="secret",100,""))</f>
        <v/>
      </c>
      <c r="G38" s="7" t="n">
        <v>0</v>
      </c>
      <c r="H38" s="7">
        <f>IF(D38="common",0,IF(D38="rare",1,IF(D38="epic",2,IF(D38="legendary",3,4))))</f>
        <v/>
      </c>
    </row>
    <row r="39">
      <c r="A39" s="7">
        <f>LOWER(Characters!$Q9)&amp;"-s1-epic"</f>
        <v/>
      </c>
      <c r="B39" s="7">
        <f>Characters!$Q9</f>
        <v/>
      </c>
      <c r="C39" s="7" t="inlineStr">
        <is>
          <t>S1</t>
        </is>
      </c>
      <c r="D39" s="7" t="inlineStr">
        <is>
          <t>epic</t>
        </is>
      </c>
      <c r="E39" s="7">
        <f>Characters!$S9-"&amp;Characters!$Q9-"&amp;UPPER(LEFT("epic",1))</f>
        <v/>
      </c>
      <c r="F39" s="7">
        <f>IF(D39="legendary",1000,IF(D39="secret",100,""))</f>
        <v/>
      </c>
      <c r="G39" s="7" t="n">
        <v>0</v>
      </c>
      <c r="H39" s="7">
        <f>IF(D39="common",0,IF(D39="rare",1,IF(D39="epic",2,IF(D39="legendary",3,4))))</f>
        <v/>
      </c>
    </row>
    <row r="40">
      <c r="A40" s="7">
        <f>LOWER(Characters!$Q9)&amp;"-s1-legendary"</f>
        <v/>
      </c>
      <c r="B40" s="7">
        <f>Characters!$Q9</f>
        <v/>
      </c>
      <c r="C40" s="7" t="inlineStr">
        <is>
          <t>S1</t>
        </is>
      </c>
      <c r="D40" s="7" t="inlineStr">
        <is>
          <t>legendary</t>
        </is>
      </c>
      <c r="E40" s="7">
        <f>Characters!$S9-"&amp;Characters!$Q9-"&amp;UPPER(LEFT("legendary",1))</f>
        <v/>
      </c>
      <c r="F40" s="7">
        <f>IF(D40="legendary",1000,IF(D40="secret",100,""))</f>
        <v/>
      </c>
      <c r="G40" s="7" t="n">
        <v>0</v>
      </c>
      <c r="H40" s="7">
        <f>IF(D40="common",0,IF(D40="rare",1,IF(D40="epic",2,IF(D40="legendary",3,4))))</f>
        <v/>
      </c>
    </row>
    <row r="41">
      <c r="A41" s="7">
        <f>LOWER(Characters!$Q9)&amp;"-s1-secret"</f>
        <v/>
      </c>
      <c r="B41" s="7">
        <f>Characters!$Q9</f>
        <v/>
      </c>
      <c r="C41" s="7" t="inlineStr">
        <is>
          <t>S1</t>
        </is>
      </c>
      <c r="D41" s="7" t="inlineStr">
        <is>
          <t>secret</t>
        </is>
      </c>
      <c r="E41" s="7">
        <f>Characters!$S9-"&amp;Characters!$Q9-"&amp;UPPER(LEFT("secret",1))</f>
        <v/>
      </c>
      <c r="F41" s="7">
        <f>IF(D41="legendary",1000,IF(D41="secret",100,""))</f>
        <v/>
      </c>
      <c r="G41" s="7" t="n">
        <v>0</v>
      </c>
      <c r="H41" s="7">
        <f>IF(D41="common",0,IF(D41="rare",1,IF(D41="epic",2,IF(D41="legendary",3,4))))</f>
        <v/>
      </c>
    </row>
    <row r="42">
      <c r="A42" s="7">
        <f>LOWER(Characters!$Q10)&amp;"-s1-common"</f>
        <v/>
      </c>
      <c r="B42" s="7">
        <f>Characters!$Q10</f>
        <v/>
      </c>
      <c r="C42" s="7" t="inlineStr">
        <is>
          <t>S1</t>
        </is>
      </c>
      <c r="D42" s="7" t="inlineStr">
        <is>
          <t>common</t>
        </is>
      </c>
      <c r="E42" s="7">
        <f>Characters!$S10-"&amp;Characters!$Q10-"&amp;UPPER(LEFT("common",1))</f>
        <v/>
      </c>
      <c r="F42" s="7">
        <f>IF(D42="legendary",1000,IF(D42="secret",100,""))</f>
        <v/>
      </c>
      <c r="G42" s="7" t="n">
        <v>0</v>
      </c>
      <c r="H42" s="7">
        <f>IF(D42="common",0,IF(D42="rare",1,IF(D42="epic",2,IF(D42="legendary",3,4))))</f>
        <v/>
      </c>
    </row>
    <row r="43">
      <c r="A43" s="7">
        <f>LOWER(Characters!$Q10)&amp;"-s1-rare"</f>
        <v/>
      </c>
      <c r="B43" s="7">
        <f>Characters!$Q10</f>
        <v/>
      </c>
      <c r="C43" s="7" t="inlineStr">
        <is>
          <t>S1</t>
        </is>
      </c>
      <c r="D43" s="7" t="inlineStr">
        <is>
          <t>rare</t>
        </is>
      </c>
      <c r="E43" s="7">
        <f>Characters!$S10-"&amp;Characters!$Q10-"&amp;UPPER(LEFT("rare",1))</f>
        <v/>
      </c>
      <c r="F43" s="7">
        <f>IF(D43="legendary",1000,IF(D43="secret",100,""))</f>
        <v/>
      </c>
      <c r="G43" s="7" t="n">
        <v>0</v>
      </c>
      <c r="H43" s="7">
        <f>IF(D43="common",0,IF(D43="rare",1,IF(D43="epic",2,IF(D43="legendary",3,4))))</f>
        <v/>
      </c>
    </row>
    <row r="44">
      <c r="A44" s="7">
        <f>LOWER(Characters!$Q10)&amp;"-s1-epic"</f>
        <v/>
      </c>
      <c r="B44" s="7">
        <f>Characters!$Q10</f>
        <v/>
      </c>
      <c r="C44" s="7" t="inlineStr">
        <is>
          <t>S1</t>
        </is>
      </c>
      <c r="D44" s="7" t="inlineStr">
        <is>
          <t>epic</t>
        </is>
      </c>
      <c r="E44" s="7">
        <f>Characters!$S10-"&amp;Characters!$Q10-"&amp;UPPER(LEFT("epic",1))</f>
        <v/>
      </c>
      <c r="F44" s="7">
        <f>IF(D44="legendary",1000,IF(D44="secret",100,""))</f>
        <v/>
      </c>
      <c r="G44" s="7" t="n">
        <v>0</v>
      </c>
      <c r="H44" s="7">
        <f>IF(D44="common",0,IF(D44="rare",1,IF(D44="epic",2,IF(D44="legendary",3,4))))</f>
        <v/>
      </c>
    </row>
    <row r="45">
      <c r="A45" s="7">
        <f>LOWER(Characters!$Q10)&amp;"-s1-legendary"</f>
        <v/>
      </c>
      <c r="B45" s="7">
        <f>Characters!$Q10</f>
        <v/>
      </c>
      <c r="C45" s="7" t="inlineStr">
        <is>
          <t>S1</t>
        </is>
      </c>
      <c r="D45" s="7" t="inlineStr">
        <is>
          <t>legendary</t>
        </is>
      </c>
      <c r="E45" s="7">
        <f>Characters!$S10-"&amp;Characters!$Q10-"&amp;UPPER(LEFT("legendary",1))</f>
        <v/>
      </c>
      <c r="F45" s="7">
        <f>IF(D45="legendary",1000,IF(D45="secret",100,""))</f>
        <v/>
      </c>
      <c r="G45" s="7" t="n">
        <v>0</v>
      </c>
      <c r="H45" s="7">
        <f>IF(D45="common",0,IF(D45="rare",1,IF(D45="epic",2,IF(D45="legendary",3,4))))</f>
        <v/>
      </c>
    </row>
    <row r="46">
      <c r="A46" s="7">
        <f>LOWER(Characters!$Q10)&amp;"-s1-secret"</f>
        <v/>
      </c>
      <c r="B46" s="7">
        <f>Characters!$Q10</f>
        <v/>
      </c>
      <c r="C46" s="7" t="inlineStr">
        <is>
          <t>S1</t>
        </is>
      </c>
      <c r="D46" s="7" t="inlineStr">
        <is>
          <t>secret</t>
        </is>
      </c>
      <c r="E46" s="7">
        <f>Characters!$S10-"&amp;Characters!$Q10-"&amp;UPPER(LEFT("secret",1))</f>
        <v/>
      </c>
      <c r="F46" s="7">
        <f>IF(D46="legendary",1000,IF(D46="secret",100,""))</f>
        <v/>
      </c>
      <c r="G46" s="7" t="n">
        <v>0</v>
      </c>
      <c r="H46" s="7">
        <f>IF(D46="common",0,IF(D46="rare",1,IF(D46="epic",2,IF(D46="legendary",3,4))))</f>
        <v/>
      </c>
    </row>
    <row r="47">
      <c r="A47" s="7">
        <f>LOWER(Characters!$Q11)&amp;"-s1-common"</f>
        <v/>
      </c>
      <c r="B47" s="7">
        <f>Characters!$Q11</f>
        <v/>
      </c>
      <c r="C47" s="7" t="inlineStr">
        <is>
          <t>S1</t>
        </is>
      </c>
      <c r="D47" s="7" t="inlineStr">
        <is>
          <t>common</t>
        </is>
      </c>
      <c r="E47" s="7">
        <f>Characters!$S11-"&amp;Characters!$Q11-"&amp;UPPER(LEFT("common",1))</f>
        <v/>
      </c>
      <c r="F47" s="7">
        <f>IF(D47="legendary",1000,IF(D47="secret",100,""))</f>
        <v/>
      </c>
      <c r="G47" s="7" t="n">
        <v>0</v>
      </c>
      <c r="H47" s="7">
        <f>IF(D47="common",0,IF(D47="rare",1,IF(D47="epic",2,IF(D47="legendary",3,4))))</f>
        <v/>
      </c>
    </row>
    <row r="48">
      <c r="A48" s="7">
        <f>LOWER(Characters!$Q11)&amp;"-s1-rare"</f>
        <v/>
      </c>
      <c r="B48" s="7">
        <f>Characters!$Q11</f>
        <v/>
      </c>
      <c r="C48" s="7" t="inlineStr">
        <is>
          <t>S1</t>
        </is>
      </c>
      <c r="D48" s="7" t="inlineStr">
        <is>
          <t>rare</t>
        </is>
      </c>
      <c r="E48" s="7">
        <f>Characters!$S11-"&amp;Characters!$Q11-"&amp;UPPER(LEFT("rare",1))</f>
        <v/>
      </c>
      <c r="F48" s="7">
        <f>IF(D48="legendary",1000,IF(D48="secret",100,""))</f>
        <v/>
      </c>
      <c r="G48" s="7" t="n">
        <v>0</v>
      </c>
      <c r="H48" s="7">
        <f>IF(D48="common",0,IF(D48="rare",1,IF(D48="epic",2,IF(D48="legendary",3,4))))</f>
        <v/>
      </c>
    </row>
    <row r="49">
      <c r="A49" s="7">
        <f>LOWER(Characters!$Q11)&amp;"-s1-epic"</f>
        <v/>
      </c>
      <c r="B49" s="7">
        <f>Characters!$Q11</f>
        <v/>
      </c>
      <c r="C49" s="7" t="inlineStr">
        <is>
          <t>S1</t>
        </is>
      </c>
      <c r="D49" s="7" t="inlineStr">
        <is>
          <t>epic</t>
        </is>
      </c>
      <c r="E49" s="7">
        <f>Characters!$S11-"&amp;Characters!$Q11-"&amp;UPPER(LEFT("epic",1))</f>
        <v/>
      </c>
      <c r="F49" s="7">
        <f>IF(D49="legendary",1000,IF(D49="secret",100,""))</f>
        <v/>
      </c>
      <c r="G49" s="7" t="n">
        <v>0</v>
      </c>
      <c r="H49" s="7">
        <f>IF(D49="common",0,IF(D49="rare",1,IF(D49="epic",2,IF(D49="legendary",3,4))))</f>
        <v/>
      </c>
    </row>
    <row r="50">
      <c r="A50" s="7">
        <f>LOWER(Characters!$Q11)&amp;"-s1-legendary"</f>
        <v/>
      </c>
      <c r="B50" s="7">
        <f>Characters!$Q11</f>
        <v/>
      </c>
      <c r="C50" s="7" t="inlineStr">
        <is>
          <t>S1</t>
        </is>
      </c>
      <c r="D50" s="7" t="inlineStr">
        <is>
          <t>legendary</t>
        </is>
      </c>
      <c r="E50" s="7">
        <f>Characters!$S11-"&amp;Characters!$Q11-"&amp;UPPER(LEFT("legendary",1))</f>
        <v/>
      </c>
      <c r="F50" s="7">
        <f>IF(D50="legendary",1000,IF(D50="secret",100,""))</f>
        <v/>
      </c>
      <c r="G50" s="7" t="n">
        <v>0</v>
      </c>
      <c r="H50" s="7">
        <f>IF(D50="common",0,IF(D50="rare",1,IF(D50="epic",2,IF(D50="legendary",3,4))))</f>
        <v/>
      </c>
    </row>
    <row r="51">
      <c r="A51" s="7">
        <f>LOWER(Characters!$Q11)&amp;"-s1-secret"</f>
        <v/>
      </c>
      <c r="B51" s="7">
        <f>Characters!$Q11</f>
        <v/>
      </c>
      <c r="C51" s="7" t="inlineStr">
        <is>
          <t>S1</t>
        </is>
      </c>
      <c r="D51" s="7" t="inlineStr">
        <is>
          <t>secret</t>
        </is>
      </c>
      <c r="E51" s="7">
        <f>Characters!$S11-"&amp;Characters!$Q11-"&amp;UPPER(LEFT("secret",1))</f>
        <v/>
      </c>
      <c r="F51" s="7">
        <f>IF(D51="legendary",1000,IF(D51="secret",100,""))</f>
        <v/>
      </c>
      <c r="G51" s="7" t="n">
        <v>0</v>
      </c>
      <c r="H51" s="7">
        <f>IF(D51="common",0,IF(D51="rare",1,IF(D51="epic",2,IF(D51="legendary",3,4))))</f>
        <v/>
      </c>
    </row>
    <row r="52">
      <c r="A52" s="7">
        <f>LOWER(Characters!$Q12)&amp;"-s1-common"</f>
        <v/>
      </c>
      <c r="B52" s="7">
        <f>Characters!$Q12</f>
        <v/>
      </c>
      <c r="C52" s="7" t="inlineStr">
        <is>
          <t>S1</t>
        </is>
      </c>
      <c r="D52" s="7" t="inlineStr">
        <is>
          <t>common</t>
        </is>
      </c>
      <c r="E52" s="7">
        <f>Characters!$S12-"&amp;Characters!$Q12-"&amp;UPPER(LEFT("common",1))</f>
        <v/>
      </c>
      <c r="F52" s="7">
        <f>IF(D52="legendary",1000,IF(D52="secret",100,""))</f>
        <v/>
      </c>
      <c r="G52" s="7" t="n">
        <v>0</v>
      </c>
      <c r="H52" s="7">
        <f>IF(D52="common",0,IF(D52="rare",1,IF(D52="epic",2,IF(D52="legendary",3,4))))</f>
        <v/>
      </c>
    </row>
    <row r="53">
      <c r="A53" s="7">
        <f>LOWER(Characters!$Q12)&amp;"-s1-rare"</f>
        <v/>
      </c>
      <c r="B53" s="7">
        <f>Characters!$Q12</f>
        <v/>
      </c>
      <c r="C53" s="7" t="inlineStr">
        <is>
          <t>S1</t>
        </is>
      </c>
      <c r="D53" s="7" t="inlineStr">
        <is>
          <t>rare</t>
        </is>
      </c>
      <c r="E53" s="7">
        <f>Characters!$S12-"&amp;Characters!$Q12-"&amp;UPPER(LEFT("rare",1))</f>
        <v/>
      </c>
      <c r="F53" s="7">
        <f>IF(D53="legendary",1000,IF(D53="secret",100,""))</f>
        <v/>
      </c>
      <c r="G53" s="7" t="n">
        <v>0</v>
      </c>
      <c r="H53" s="7">
        <f>IF(D53="common",0,IF(D53="rare",1,IF(D53="epic",2,IF(D53="legendary",3,4))))</f>
        <v/>
      </c>
    </row>
    <row r="54">
      <c r="A54" s="7">
        <f>LOWER(Characters!$Q12)&amp;"-s1-epic"</f>
        <v/>
      </c>
      <c r="B54" s="7">
        <f>Characters!$Q12</f>
        <v/>
      </c>
      <c r="C54" s="7" t="inlineStr">
        <is>
          <t>S1</t>
        </is>
      </c>
      <c r="D54" s="7" t="inlineStr">
        <is>
          <t>epic</t>
        </is>
      </c>
      <c r="E54" s="7">
        <f>Characters!$S12-"&amp;Characters!$Q12-"&amp;UPPER(LEFT("epic",1))</f>
        <v/>
      </c>
      <c r="F54" s="7">
        <f>IF(D54="legendary",1000,IF(D54="secret",100,""))</f>
        <v/>
      </c>
      <c r="G54" s="7" t="n">
        <v>0</v>
      </c>
      <c r="H54" s="7">
        <f>IF(D54="common",0,IF(D54="rare",1,IF(D54="epic",2,IF(D54="legendary",3,4))))</f>
        <v/>
      </c>
    </row>
    <row r="55">
      <c r="A55" s="7">
        <f>LOWER(Characters!$Q12)&amp;"-s1-legendary"</f>
        <v/>
      </c>
      <c r="B55" s="7">
        <f>Characters!$Q12</f>
        <v/>
      </c>
      <c r="C55" s="7" t="inlineStr">
        <is>
          <t>S1</t>
        </is>
      </c>
      <c r="D55" s="7" t="inlineStr">
        <is>
          <t>legendary</t>
        </is>
      </c>
      <c r="E55" s="7">
        <f>Characters!$S12-"&amp;Characters!$Q12-"&amp;UPPER(LEFT("legendary",1))</f>
        <v/>
      </c>
      <c r="F55" s="7">
        <f>IF(D55="legendary",1000,IF(D55="secret",100,""))</f>
        <v/>
      </c>
      <c r="G55" s="7" t="n">
        <v>0</v>
      </c>
      <c r="H55" s="7">
        <f>IF(D55="common",0,IF(D55="rare",1,IF(D55="epic",2,IF(D55="legendary",3,4))))</f>
        <v/>
      </c>
    </row>
    <row r="56">
      <c r="A56" s="7">
        <f>LOWER(Characters!$Q12)&amp;"-s1-secret"</f>
        <v/>
      </c>
      <c r="B56" s="7">
        <f>Characters!$Q12</f>
        <v/>
      </c>
      <c r="C56" s="7" t="inlineStr">
        <is>
          <t>S1</t>
        </is>
      </c>
      <c r="D56" s="7" t="inlineStr">
        <is>
          <t>secret</t>
        </is>
      </c>
      <c r="E56" s="7">
        <f>Characters!$S12-"&amp;Characters!$Q12-"&amp;UPPER(LEFT("secret",1))</f>
        <v/>
      </c>
      <c r="F56" s="7">
        <f>IF(D56="legendary",1000,IF(D56="secret",100,""))</f>
        <v/>
      </c>
      <c r="G56" s="7" t="n">
        <v>0</v>
      </c>
      <c r="H56" s="7">
        <f>IF(D56="common",0,IF(D56="rare",1,IF(D56="epic",2,IF(D56="legendary",3,4))))</f>
        <v/>
      </c>
    </row>
    <row r="57">
      <c r="A57" s="7">
        <f>LOWER(Characters!$Q13)&amp;"-s1-common"</f>
        <v/>
      </c>
      <c r="B57" s="7">
        <f>Characters!$Q13</f>
        <v/>
      </c>
      <c r="C57" s="7" t="inlineStr">
        <is>
          <t>S1</t>
        </is>
      </c>
      <c r="D57" s="7" t="inlineStr">
        <is>
          <t>common</t>
        </is>
      </c>
      <c r="E57" s="7">
        <f>Characters!$S13-"&amp;Characters!$Q13-"&amp;UPPER(LEFT("common",1))</f>
        <v/>
      </c>
      <c r="F57" s="7">
        <f>IF(D57="legendary",1000,IF(D57="secret",100,""))</f>
        <v/>
      </c>
      <c r="G57" s="7" t="n">
        <v>0</v>
      </c>
      <c r="H57" s="7">
        <f>IF(D57="common",0,IF(D57="rare",1,IF(D57="epic",2,IF(D57="legendary",3,4))))</f>
        <v/>
      </c>
    </row>
    <row r="58">
      <c r="A58" s="7">
        <f>LOWER(Characters!$Q13)&amp;"-s1-rare"</f>
        <v/>
      </c>
      <c r="B58" s="7">
        <f>Characters!$Q13</f>
        <v/>
      </c>
      <c r="C58" s="7" t="inlineStr">
        <is>
          <t>S1</t>
        </is>
      </c>
      <c r="D58" s="7" t="inlineStr">
        <is>
          <t>rare</t>
        </is>
      </c>
      <c r="E58" s="7">
        <f>Characters!$S13-"&amp;Characters!$Q13-"&amp;UPPER(LEFT("rare",1))</f>
        <v/>
      </c>
      <c r="F58" s="7">
        <f>IF(D58="legendary",1000,IF(D58="secret",100,""))</f>
        <v/>
      </c>
      <c r="G58" s="7" t="n">
        <v>0</v>
      </c>
      <c r="H58" s="7">
        <f>IF(D58="common",0,IF(D58="rare",1,IF(D58="epic",2,IF(D58="legendary",3,4))))</f>
        <v/>
      </c>
    </row>
    <row r="59">
      <c r="A59" s="7">
        <f>LOWER(Characters!$Q13)&amp;"-s1-epic"</f>
        <v/>
      </c>
      <c r="B59" s="7">
        <f>Characters!$Q13</f>
        <v/>
      </c>
      <c r="C59" s="7" t="inlineStr">
        <is>
          <t>S1</t>
        </is>
      </c>
      <c r="D59" s="7" t="inlineStr">
        <is>
          <t>epic</t>
        </is>
      </c>
      <c r="E59" s="7">
        <f>Characters!$S13-"&amp;Characters!$Q13-"&amp;UPPER(LEFT("epic",1))</f>
        <v/>
      </c>
      <c r="F59" s="7">
        <f>IF(D59="legendary",1000,IF(D59="secret",100,""))</f>
        <v/>
      </c>
      <c r="G59" s="7" t="n">
        <v>0</v>
      </c>
      <c r="H59" s="7">
        <f>IF(D59="common",0,IF(D59="rare",1,IF(D59="epic",2,IF(D59="legendary",3,4))))</f>
        <v/>
      </c>
    </row>
    <row r="60">
      <c r="A60" s="7">
        <f>LOWER(Characters!$Q13)&amp;"-s1-legendary"</f>
        <v/>
      </c>
      <c r="B60" s="7">
        <f>Characters!$Q13</f>
        <v/>
      </c>
      <c r="C60" s="7" t="inlineStr">
        <is>
          <t>S1</t>
        </is>
      </c>
      <c r="D60" s="7" t="inlineStr">
        <is>
          <t>legendary</t>
        </is>
      </c>
      <c r="E60" s="7">
        <f>Characters!$S13-"&amp;Characters!$Q13-"&amp;UPPER(LEFT("legendary",1))</f>
        <v/>
      </c>
      <c r="F60" s="7">
        <f>IF(D60="legendary",1000,IF(D60="secret",100,""))</f>
        <v/>
      </c>
      <c r="G60" s="7" t="n">
        <v>0</v>
      </c>
      <c r="H60" s="7">
        <f>IF(D60="common",0,IF(D60="rare",1,IF(D60="epic",2,IF(D60="legendary",3,4))))</f>
        <v/>
      </c>
    </row>
    <row r="61">
      <c r="A61" s="7">
        <f>LOWER(Characters!$Q13)&amp;"-s1-secret"</f>
        <v/>
      </c>
      <c r="B61" s="7">
        <f>Characters!$Q13</f>
        <v/>
      </c>
      <c r="C61" s="7" t="inlineStr">
        <is>
          <t>S1</t>
        </is>
      </c>
      <c r="D61" s="7" t="inlineStr">
        <is>
          <t>secret</t>
        </is>
      </c>
      <c r="E61" s="7">
        <f>Characters!$S13-"&amp;Characters!$Q13-"&amp;UPPER(LEFT("secret",1))</f>
        <v/>
      </c>
      <c r="F61" s="7">
        <f>IF(D61="legendary",1000,IF(D61="secret",100,""))</f>
        <v/>
      </c>
      <c r="G61" s="7" t="n">
        <v>0</v>
      </c>
      <c r="H61" s="7">
        <f>IF(D61="common",0,IF(D61="rare",1,IF(D61="epic",2,IF(D61="legendary",3,4))))</f>
        <v/>
      </c>
    </row>
    <row r="62">
      <c r="A62" s="7">
        <f>LOWER(Characters!$Q14)&amp;"-s1-common"</f>
        <v/>
      </c>
      <c r="B62" s="7">
        <f>Characters!$Q14</f>
        <v/>
      </c>
      <c r="C62" s="7" t="inlineStr">
        <is>
          <t>S1</t>
        </is>
      </c>
      <c r="D62" s="7" t="inlineStr">
        <is>
          <t>common</t>
        </is>
      </c>
      <c r="E62" s="7">
        <f>Characters!$S14-"&amp;Characters!$Q14-"&amp;UPPER(LEFT("common",1))</f>
        <v/>
      </c>
      <c r="F62" s="7">
        <f>IF(D62="legendary",1000,IF(D62="secret",100,""))</f>
        <v/>
      </c>
      <c r="G62" s="7" t="n">
        <v>0</v>
      </c>
      <c r="H62" s="7">
        <f>IF(D62="common",0,IF(D62="rare",1,IF(D62="epic",2,IF(D62="legendary",3,4))))</f>
        <v/>
      </c>
    </row>
    <row r="63">
      <c r="A63" s="7">
        <f>LOWER(Characters!$Q14)&amp;"-s1-rare"</f>
        <v/>
      </c>
      <c r="B63" s="7">
        <f>Characters!$Q14</f>
        <v/>
      </c>
      <c r="C63" s="7" t="inlineStr">
        <is>
          <t>S1</t>
        </is>
      </c>
      <c r="D63" s="7" t="inlineStr">
        <is>
          <t>rare</t>
        </is>
      </c>
      <c r="E63" s="7">
        <f>Characters!$S14-"&amp;Characters!$Q14-"&amp;UPPER(LEFT("rare",1))</f>
        <v/>
      </c>
      <c r="F63" s="7">
        <f>IF(D63="legendary",1000,IF(D63="secret",100,""))</f>
        <v/>
      </c>
      <c r="G63" s="7" t="n">
        <v>0</v>
      </c>
      <c r="H63" s="7">
        <f>IF(D63="common",0,IF(D63="rare",1,IF(D63="epic",2,IF(D63="legendary",3,4))))</f>
        <v/>
      </c>
    </row>
    <row r="64">
      <c r="A64" s="7">
        <f>LOWER(Characters!$Q14)&amp;"-s1-epic"</f>
        <v/>
      </c>
      <c r="B64" s="7">
        <f>Characters!$Q14</f>
        <v/>
      </c>
      <c r="C64" s="7" t="inlineStr">
        <is>
          <t>S1</t>
        </is>
      </c>
      <c r="D64" s="7" t="inlineStr">
        <is>
          <t>epic</t>
        </is>
      </c>
      <c r="E64" s="7">
        <f>Characters!$S14-"&amp;Characters!$Q14-"&amp;UPPER(LEFT("epic",1))</f>
        <v/>
      </c>
      <c r="F64" s="7">
        <f>IF(D64="legendary",1000,IF(D64="secret",100,""))</f>
        <v/>
      </c>
      <c r="G64" s="7" t="n">
        <v>0</v>
      </c>
      <c r="H64" s="7">
        <f>IF(D64="common",0,IF(D64="rare",1,IF(D64="epic",2,IF(D64="legendary",3,4))))</f>
        <v/>
      </c>
    </row>
    <row r="65">
      <c r="A65" s="7">
        <f>LOWER(Characters!$Q14)&amp;"-s1-legendary"</f>
        <v/>
      </c>
      <c r="B65" s="7">
        <f>Characters!$Q14</f>
        <v/>
      </c>
      <c r="C65" s="7" t="inlineStr">
        <is>
          <t>S1</t>
        </is>
      </c>
      <c r="D65" s="7" t="inlineStr">
        <is>
          <t>legendary</t>
        </is>
      </c>
      <c r="E65" s="7">
        <f>Characters!$S14-"&amp;Characters!$Q14-"&amp;UPPER(LEFT("legendary",1))</f>
        <v/>
      </c>
      <c r="F65" s="7">
        <f>IF(D65="legendary",1000,IF(D65="secret",100,""))</f>
        <v/>
      </c>
      <c r="G65" s="7" t="n">
        <v>0</v>
      </c>
      <c r="H65" s="7">
        <f>IF(D65="common",0,IF(D65="rare",1,IF(D65="epic",2,IF(D65="legendary",3,4))))</f>
        <v/>
      </c>
    </row>
    <row r="66">
      <c r="A66" s="7">
        <f>LOWER(Characters!$Q14)&amp;"-s1-secret"</f>
        <v/>
      </c>
      <c r="B66" s="7">
        <f>Characters!$Q14</f>
        <v/>
      </c>
      <c r="C66" s="7" t="inlineStr">
        <is>
          <t>S1</t>
        </is>
      </c>
      <c r="D66" s="7" t="inlineStr">
        <is>
          <t>secret</t>
        </is>
      </c>
      <c r="E66" s="7">
        <f>Characters!$S14-"&amp;Characters!$Q14-"&amp;UPPER(LEFT("secret",1))</f>
        <v/>
      </c>
      <c r="F66" s="7">
        <f>IF(D66="legendary",1000,IF(D66="secret",100,""))</f>
        <v/>
      </c>
      <c r="G66" s="7" t="n">
        <v>0</v>
      </c>
      <c r="H66" s="7">
        <f>IF(D66="common",0,IF(D66="rare",1,IF(D66="epic",2,IF(D66="legendary",3,4))))</f>
        <v/>
      </c>
    </row>
    <row r="67">
      <c r="A67" s="7">
        <f>LOWER(Characters!$Q15)&amp;"-s1-common"</f>
        <v/>
      </c>
      <c r="B67" s="7">
        <f>Characters!$Q15</f>
        <v/>
      </c>
      <c r="C67" s="7" t="inlineStr">
        <is>
          <t>S1</t>
        </is>
      </c>
      <c r="D67" s="7" t="inlineStr">
        <is>
          <t>common</t>
        </is>
      </c>
      <c r="E67" s="7">
        <f>Characters!$S15-"&amp;Characters!$Q15-"&amp;UPPER(LEFT("common",1))</f>
        <v/>
      </c>
      <c r="F67" s="7">
        <f>IF(D67="legendary",1000,IF(D67="secret",100,""))</f>
        <v/>
      </c>
      <c r="G67" s="7" t="n">
        <v>0</v>
      </c>
      <c r="H67" s="7">
        <f>IF(D67="common",0,IF(D67="rare",1,IF(D67="epic",2,IF(D67="legendary",3,4))))</f>
        <v/>
      </c>
    </row>
    <row r="68">
      <c r="A68" s="7">
        <f>LOWER(Characters!$Q15)&amp;"-s1-rare"</f>
        <v/>
      </c>
      <c r="B68" s="7">
        <f>Characters!$Q15</f>
        <v/>
      </c>
      <c r="C68" s="7" t="inlineStr">
        <is>
          <t>S1</t>
        </is>
      </c>
      <c r="D68" s="7" t="inlineStr">
        <is>
          <t>rare</t>
        </is>
      </c>
      <c r="E68" s="7">
        <f>Characters!$S15-"&amp;Characters!$Q15-"&amp;UPPER(LEFT("rare",1))</f>
        <v/>
      </c>
      <c r="F68" s="7">
        <f>IF(D68="legendary",1000,IF(D68="secret",100,""))</f>
        <v/>
      </c>
      <c r="G68" s="7" t="n">
        <v>0</v>
      </c>
      <c r="H68" s="7">
        <f>IF(D68="common",0,IF(D68="rare",1,IF(D68="epic",2,IF(D68="legendary",3,4))))</f>
        <v/>
      </c>
    </row>
    <row r="69">
      <c r="A69" s="7">
        <f>LOWER(Characters!$Q15)&amp;"-s1-epic"</f>
        <v/>
      </c>
      <c r="B69" s="7">
        <f>Characters!$Q15</f>
        <v/>
      </c>
      <c r="C69" s="7" t="inlineStr">
        <is>
          <t>S1</t>
        </is>
      </c>
      <c r="D69" s="7" t="inlineStr">
        <is>
          <t>epic</t>
        </is>
      </c>
      <c r="E69" s="7">
        <f>Characters!$S15-"&amp;Characters!$Q15-"&amp;UPPER(LEFT("epic",1))</f>
        <v/>
      </c>
      <c r="F69" s="7">
        <f>IF(D69="legendary",1000,IF(D69="secret",100,""))</f>
        <v/>
      </c>
      <c r="G69" s="7" t="n">
        <v>0</v>
      </c>
      <c r="H69" s="7">
        <f>IF(D69="common",0,IF(D69="rare",1,IF(D69="epic",2,IF(D69="legendary",3,4))))</f>
        <v/>
      </c>
    </row>
    <row r="70">
      <c r="A70" s="7">
        <f>LOWER(Characters!$Q15)&amp;"-s1-legendary"</f>
        <v/>
      </c>
      <c r="B70" s="7">
        <f>Characters!$Q15</f>
        <v/>
      </c>
      <c r="C70" s="7" t="inlineStr">
        <is>
          <t>S1</t>
        </is>
      </c>
      <c r="D70" s="7" t="inlineStr">
        <is>
          <t>legendary</t>
        </is>
      </c>
      <c r="E70" s="7">
        <f>Characters!$S15-"&amp;Characters!$Q15-"&amp;UPPER(LEFT("legendary",1))</f>
        <v/>
      </c>
      <c r="F70" s="7">
        <f>IF(D70="legendary",1000,IF(D70="secret",100,""))</f>
        <v/>
      </c>
      <c r="G70" s="7" t="n">
        <v>0</v>
      </c>
      <c r="H70" s="7">
        <f>IF(D70="common",0,IF(D70="rare",1,IF(D70="epic",2,IF(D70="legendary",3,4))))</f>
        <v/>
      </c>
    </row>
    <row r="71">
      <c r="A71" s="7">
        <f>LOWER(Characters!$Q15)&amp;"-s1-secret"</f>
        <v/>
      </c>
      <c r="B71" s="7">
        <f>Characters!$Q15</f>
        <v/>
      </c>
      <c r="C71" s="7" t="inlineStr">
        <is>
          <t>S1</t>
        </is>
      </c>
      <c r="D71" s="7" t="inlineStr">
        <is>
          <t>secret</t>
        </is>
      </c>
      <c r="E71" s="7">
        <f>Characters!$S15-"&amp;Characters!$Q15-"&amp;UPPER(LEFT("secret",1))</f>
        <v/>
      </c>
      <c r="F71" s="7">
        <f>IF(D71="legendary",1000,IF(D71="secret",100,""))</f>
        <v/>
      </c>
      <c r="G71" s="7" t="n">
        <v>0</v>
      </c>
      <c r="H71" s="7">
        <f>IF(D71="common",0,IF(D71="rare",1,IF(D71="epic",2,IF(D71="legendary",3,4))))</f>
        <v/>
      </c>
    </row>
    <row r="72">
      <c r="A72" s="7">
        <f>LOWER(Characters!$Q16)&amp;"-s1-common"</f>
        <v/>
      </c>
      <c r="B72" s="7">
        <f>Characters!$Q16</f>
        <v/>
      </c>
      <c r="C72" s="7" t="inlineStr">
        <is>
          <t>S1</t>
        </is>
      </c>
      <c r="D72" s="7" t="inlineStr">
        <is>
          <t>common</t>
        </is>
      </c>
      <c r="E72" s="7">
        <f>Characters!$S16-"&amp;Characters!$Q16-"&amp;UPPER(LEFT("common",1))</f>
        <v/>
      </c>
      <c r="F72" s="7">
        <f>IF(D72="legendary",1000,IF(D72="secret",100,""))</f>
        <v/>
      </c>
      <c r="G72" s="7" t="n">
        <v>0</v>
      </c>
      <c r="H72" s="7">
        <f>IF(D72="common",0,IF(D72="rare",1,IF(D72="epic",2,IF(D72="legendary",3,4))))</f>
        <v/>
      </c>
    </row>
    <row r="73">
      <c r="A73" s="7">
        <f>LOWER(Characters!$Q16)&amp;"-s1-rare"</f>
        <v/>
      </c>
      <c r="B73" s="7">
        <f>Characters!$Q16</f>
        <v/>
      </c>
      <c r="C73" s="7" t="inlineStr">
        <is>
          <t>S1</t>
        </is>
      </c>
      <c r="D73" s="7" t="inlineStr">
        <is>
          <t>rare</t>
        </is>
      </c>
      <c r="E73" s="7">
        <f>Characters!$S16-"&amp;Characters!$Q16-"&amp;UPPER(LEFT("rare",1))</f>
        <v/>
      </c>
      <c r="F73" s="7">
        <f>IF(D73="legendary",1000,IF(D73="secret",100,""))</f>
        <v/>
      </c>
      <c r="G73" s="7" t="n">
        <v>0</v>
      </c>
      <c r="H73" s="7">
        <f>IF(D73="common",0,IF(D73="rare",1,IF(D73="epic",2,IF(D73="legendary",3,4))))</f>
        <v/>
      </c>
    </row>
    <row r="74">
      <c r="A74" s="7">
        <f>LOWER(Characters!$Q16)&amp;"-s1-epic"</f>
        <v/>
      </c>
      <c r="B74" s="7">
        <f>Characters!$Q16</f>
        <v/>
      </c>
      <c r="C74" s="7" t="inlineStr">
        <is>
          <t>S1</t>
        </is>
      </c>
      <c r="D74" s="7" t="inlineStr">
        <is>
          <t>epic</t>
        </is>
      </c>
      <c r="E74" s="7">
        <f>Characters!$S16-"&amp;Characters!$Q16-"&amp;UPPER(LEFT("epic",1))</f>
        <v/>
      </c>
      <c r="F74" s="7">
        <f>IF(D74="legendary",1000,IF(D74="secret",100,""))</f>
        <v/>
      </c>
      <c r="G74" s="7" t="n">
        <v>0</v>
      </c>
      <c r="H74" s="7">
        <f>IF(D74="common",0,IF(D74="rare",1,IF(D74="epic",2,IF(D74="legendary",3,4))))</f>
        <v/>
      </c>
    </row>
    <row r="75">
      <c r="A75" s="7">
        <f>LOWER(Characters!$Q16)&amp;"-s1-legendary"</f>
        <v/>
      </c>
      <c r="B75" s="7">
        <f>Characters!$Q16</f>
        <v/>
      </c>
      <c r="C75" s="7" t="inlineStr">
        <is>
          <t>S1</t>
        </is>
      </c>
      <c r="D75" s="7" t="inlineStr">
        <is>
          <t>legendary</t>
        </is>
      </c>
      <c r="E75" s="7">
        <f>Characters!$S16-"&amp;Characters!$Q16-"&amp;UPPER(LEFT("legendary",1))</f>
        <v/>
      </c>
      <c r="F75" s="7">
        <f>IF(D75="legendary",1000,IF(D75="secret",100,""))</f>
        <v/>
      </c>
      <c r="G75" s="7" t="n">
        <v>0</v>
      </c>
      <c r="H75" s="7">
        <f>IF(D75="common",0,IF(D75="rare",1,IF(D75="epic",2,IF(D75="legendary",3,4))))</f>
        <v/>
      </c>
    </row>
    <row r="76">
      <c r="A76" s="7">
        <f>LOWER(Characters!$Q16)&amp;"-s1-secret"</f>
        <v/>
      </c>
      <c r="B76" s="7">
        <f>Characters!$Q16</f>
        <v/>
      </c>
      <c r="C76" s="7" t="inlineStr">
        <is>
          <t>S1</t>
        </is>
      </c>
      <c r="D76" s="7" t="inlineStr">
        <is>
          <t>secret</t>
        </is>
      </c>
      <c r="E76" s="7">
        <f>Characters!$S16-"&amp;Characters!$Q16-"&amp;UPPER(LEFT("secret",1))</f>
        <v/>
      </c>
      <c r="F76" s="7">
        <f>IF(D76="legendary",1000,IF(D76="secret",100,""))</f>
        <v/>
      </c>
      <c r="G76" s="7" t="n">
        <v>0</v>
      </c>
      <c r="H76" s="7">
        <f>IF(D76="common",0,IF(D76="rare",1,IF(D76="epic",2,IF(D76="legendary",3,4))))</f>
        <v/>
      </c>
    </row>
    <row r="77">
      <c r="A77" s="7">
        <f>LOWER(Characters!$Q17)&amp;"-s1-common"</f>
        <v/>
      </c>
      <c r="B77" s="7">
        <f>Characters!$Q17</f>
        <v/>
      </c>
      <c r="C77" s="7" t="inlineStr">
        <is>
          <t>S1</t>
        </is>
      </c>
      <c r="D77" s="7" t="inlineStr">
        <is>
          <t>common</t>
        </is>
      </c>
      <c r="E77" s="7">
        <f>Characters!$S17-"&amp;Characters!$Q17-"&amp;UPPER(LEFT("common",1))</f>
        <v/>
      </c>
      <c r="F77" s="7">
        <f>IF(D77="legendary",1000,IF(D77="secret",100,""))</f>
        <v/>
      </c>
      <c r="G77" s="7" t="n">
        <v>0</v>
      </c>
      <c r="H77" s="7">
        <f>IF(D77="common",0,IF(D77="rare",1,IF(D77="epic",2,IF(D77="legendary",3,4))))</f>
        <v/>
      </c>
    </row>
    <row r="78">
      <c r="A78" s="7">
        <f>LOWER(Characters!$Q17)&amp;"-s1-rare"</f>
        <v/>
      </c>
      <c r="B78" s="7">
        <f>Characters!$Q17</f>
        <v/>
      </c>
      <c r="C78" s="7" t="inlineStr">
        <is>
          <t>S1</t>
        </is>
      </c>
      <c r="D78" s="7" t="inlineStr">
        <is>
          <t>rare</t>
        </is>
      </c>
      <c r="E78" s="7">
        <f>Characters!$S17-"&amp;Characters!$Q17-"&amp;UPPER(LEFT("rare",1))</f>
        <v/>
      </c>
      <c r="F78" s="7">
        <f>IF(D78="legendary",1000,IF(D78="secret",100,""))</f>
        <v/>
      </c>
      <c r="G78" s="7" t="n">
        <v>0</v>
      </c>
      <c r="H78" s="7">
        <f>IF(D78="common",0,IF(D78="rare",1,IF(D78="epic",2,IF(D78="legendary",3,4))))</f>
        <v/>
      </c>
    </row>
    <row r="79">
      <c r="A79" s="7">
        <f>LOWER(Characters!$Q17)&amp;"-s1-epic"</f>
        <v/>
      </c>
      <c r="B79" s="7">
        <f>Characters!$Q17</f>
        <v/>
      </c>
      <c r="C79" s="7" t="inlineStr">
        <is>
          <t>S1</t>
        </is>
      </c>
      <c r="D79" s="7" t="inlineStr">
        <is>
          <t>epic</t>
        </is>
      </c>
      <c r="E79" s="7">
        <f>Characters!$S17-"&amp;Characters!$Q17-"&amp;UPPER(LEFT("epic",1))</f>
        <v/>
      </c>
      <c r="F79" s="7">
        <f>IF(D79="legendary",1000,IF(D79="secret",100,""))</f>
        <v/>
      </c>
      <c r="G79" s="7" t="n">
        <v>0</v>
      </c>
      <c r="H79" s="7">
        <f>IF(D79="common",0,IF(D79="rare",1,IF(D79="epic",2,IF(D79="legendary",3,4))))</f>
        <v/>
      </c>
    </row>
    <row r="80">
      <c r="A80" s="7">
        <f>LOWER(Characters!$Q17)&amp;"-s1-legendary"</f>
        <v/>
      </c>
      <c r="B80" s="7">
        <f>Characters!$Q17</f>
        <v/>
      </c>
      <c r="C80" s="7" t="inlineStr">
        <is>
          <t>S1</t>
        </is>
      </c>
      <c r="D80" s="7" t="inlineStr">
        <is>
          <t>legendary</t>
        </is>
      </c>
      <c r="E80" s="7">
        <f>Characters!$S17-"&amp;Characters!$Q17-"&amp;UPPER(LEFT("legendary",1))</f>
        <v/>
      </c>
      <c r="F80" s="7">
        <f>IF(D80="legendary",1000,IF(D80="secret",100,""))</f>
        <v/>
      </c>
      <c r="G80" s="7" t="n">
        <v>0</v>
      </c>
      <c r="H80" s="7">
        <f>IF(D80="common",0,IF(D80="rare",1,IF(D80="epic",2,IF(D80="legendary",3,4))))</f>
        <v/>
      </c>
    </row>
    <row r="81">
      <c r="A81" s="7">
        <f>LOWER(Characters!$Q17)&amp;"-s1-secret"</f>
        <v/>
      </c>
      <c r="B81" s="7">
        <f>Characters!$Q17</f>
        <v/>
      </c>
      <c r="C81" s="7" t="inlineStr">
        <is>
          <t>S1</t>
        </is>
      </c>
      <c r="D81" s="7" t="inlineStr">
        <is>
          <t>secret</t>
        </is>
      </c>
      <c r="E81" s="7">
        <f>Characters!$S17-"&amp;Characters!$Q17-"&amp;UPPER(LEFT("secret",1))</f>
        <v/>
      </c>
      <c r="F81" s="7">
        <f>IF(D81="legendary",1000,IF(D81="secret",100,""))</f>
        <v/>
      </c>
      <c r="G81" s="7" t="n">
        <v>0</v>
      </c>
      <c r="H81" s="7">
        <f>IF(D81="common",0,IF(D81="rare",1,IF(D81="epic",2,IF(D81="legendary",3,4))))</f>
        <v/>
      </c>
    </row>
    <row r="82">
      <c r="A82" s="7">
        <f>LOWER(Characters!$Q18)&amp;"-s1-common"</f>
        <v/>
      </c>
      <c r="B82" s="7">
        <f>Characters!$Q18</f>
        <v/>
      </c>
      <c r="C82" s="7" t="inlineStr">
        <is>
          <t>S1</t>
        </is>
      </c>
      <c r="D82" s="7" t="inlineStr">
        <is>
          <t>common</t>
        </is>
      </c>
      <c r="E82" s="7">
        <f>Characters!$S18-"&amp;Characters!$Q18-"&amp;UPPER(LEFT("common",1))</f>
        <v/>
      </c>
      <c r="F82" s="7">
        <f>IF(D82="legendary",1000,IF(D82="secret",100,""))</f>
        <v/>
      </c>
      <c r="G82" s="7" t="n">
        <v>0</v>
      </c>
      <c r="H82" s="7">
        <f>IF(D82="common",0,IF(D82="rare",1,IF(D82="epic",2,IF(D82="legendary",3,4))))</f>
        <v/>
      </c>
    </row>
    <row r="83">
      <c r="A83" s="7">
        <f>LOWER(Characters!$Q18)&amp;"-s1-rare"</f>
        <v/>
      </c>
      <c r="B83" s="7">
        <f>Characters!$Q18</f>
        <v/>
      </c>
      <c r="C83" s="7" t="inlineStr">
        <is>
          <t>S1</t>
        </is>
      </c>
      <c r="D83" s="7" t="inlineStr">
        <is>
          <t>rare</t>
        </is>
      </c>
      <c r="E83" s="7">
        <f>Characters!$S18-"&amp;Characters!$Q18-"&amp;UPPER(LEFT("rare",1))</f>
        <v/>
      </c>
      <c r="F83" s="7">
        <f>IF(D83="legendary",1000,IF(D83="secret",100,""))</f>
        <v/>
      </c>
      <c r="G83" s="7" t="n">
        <v>0</v>
      </c>
      <c r="H83" s="7">
        <f>IF(D83="common",0,IF(D83="rare",1,IF(D83="epic",2,IF(D83="legendary",3,4))))</f>
        <v/>
      </c>
    </row>
    <row r="84">
      <c r="A84" s="7">
        <f>LOWER(Characters!$Q18)&amp;"-s1-epic"</f>
        <v/>
      </c>
      <c r="B84" s="7">
        <f>Characters!$Q18</f>
        <v/>
      </c>
      <c r="C84" s="7" t="inlineStr">
        <is>
          <t>S1</t>
        </is>
      </c>
      <c r="D84" s="7" t="inlineStr">
        <is>
          <t>epic</t>
        </is>
      </c>
      <c r="E84" s="7">
        <f>Characters!$S18-"&amp;Characters!$Q18-"&amp;UPPER(LEFT("epic",1))</f>
        <v/>
      </c>
      <c r="F84" s="7">
        <f>IF(D84="legendary",1000,IF(D84="secret",100,""))</f>
        <v/>
      </c>
      <c r="G84" s="7" t="n">
        <v>0</v>
      </c>
      <c r="H84" s="7">
        <f>IF(D84="common",0,IF(D84="rare",1,IF(D84="epic",2,IF(D84="legendary",3,4))))</f>
        <v/>
      </c>
    </row>
    <row r="85">
      <c r="A85" s="7">
        <f>LOWER(Characters!$Q18)&amp;"-s1-legendary"</f>
        <v/>
      </c>
      <c r="B85" s="7">
        <f>Characters!$Q18</f>
        <v/>
      </c>
      <c r="C85" s="7" t="inlineStr">
        <is>
          <t>S1</t>
        </is>
      </c>
      <c r="D85" s="7" t="inlineStr">
        <is>
          <t>legendary</t>
        </is>
      </c>
      <c r="E85" s="7">
        <f>Characters!$S18-"&amp;Characters!$Q18-"&amp;UPPER(LEFT("legendary",1))</f>
        <v/>
      </c>
      <c r="F85" s="7">
        <f>IF(D85="legendary",1000,IF(D85="secret",100,""))</f>
        <v/>
      </c>
      <c r="G85" s="7" t="n">
        <v>0</v>
      </c>
      <c r="H85" s="7">
        <f>IF(D85="common",0,IF(D85="rare",1,IF(D85="epic",2,IF(D85="legendary",3,4))))</f>
        <v/>
      </c>
    </row>
    <row r="86">
      <c r="A86" s="7">
        <f>LOWER(Characters!$Q18)&amp;"-s1-secret"</f>
        <v/>
      </c>
      <c r="B86" s="7">
        <f>Characters!$Q18</f>
        <v/>
      </c>
      <c r="C86" s="7" t="inlineStr">
        <is>
          <t>S1</t>
        </is>
      </c>
      <c r="D86" s="7" t="inlineStr">
        <is>
          <t>secret</t>
        </is>
      </c>
      <c r="E86" s="7">
        <f>Characters!$S18-"&amp;Characters!$Q18-"&amp;UPPER(LEFT("secret",1))</f>
        <v/>
      </c>
      <c r="F86" s="7">
        <f>IF(D86="legendary",1000,IF(D86="secret",100,""))</f>
        <v/>
      </c>
      <c r="G86" s="7" t="n">
        <v>0</v>
      </c>
      <c r="H86" s="7">
        <f>IF(D86="common",0,IF(D86="rare",1,IF(D86="epic",2,IF(D86="legendary",3,4))))</f>
        <v/>
      </c>
    </row>
    <row r="87">
      <c r="A87" s="7">
        <f>LOWER(Characters!$Q19)&amp;"-s1-common"</f>
        <v/>
      </c>
      <c r="B87" s="7">
        <f>Characters!$Q19</f>
        <v/>
      </c>
      <c r="C87" s="7" t="inlineStr">
        <is>
          <t>S1</t>
        </is>
      </c>
      <c r="D87" s="7" t="inlineStr">
        <is>
          <t>common</t>
        </is>
      </c>
      <c r="E87" s="7">
        <f>Characters!$S19-"&amp;Characters!$Q19-"&amp;UPPER(LEFT("common",1))</f>
        <v/>
      </c>
      <c r="F87" s="7">
        <f>IF(D87="legendary",1000,IF(D87="secret",100,""))</f>
        <v/>
      </c>
      <c r="G87" s="7" t="n">
        <v>0</v>
      </c>
      <c r="H87" s="7">
        <f>IF(D87="common",0,IF(D87="rare",1,IF(D87="epic",2,IF(D87="legendary",3,4))))</f>
        <v/>
      </c>
    </row>
    <row r="88">
      <c r="A88" s="7">
        <f>LOWER(Characters!$Q19)&amp;"-s1-rare"</f>
        <v/>
      </c>
      <c r="B88" s="7">
        <f>Characters!$Q19</f>
        <v/>
      </c>
      <c r="C88" s="7" t="inlineStr">
        <is>
          <t>S1</t>
        </is>
      </c>
      <c r="D88" s="7" t="inlineStr">
        <is>
          <t>rare</t>
        </is>
      </c>
      <c r="E88" s="7">
        <f>Characters!$S19-"&amp;Characters!$Q19-"&amp;UPPER(LEFT("rare",1))</f>
        <v/>
      </c>
      <c r="F88" s="7">
        <f>IF(D88="legendary",1000,IF(D88="secret",100,""))</f>
        <v/>
      </c>
      <c r="G88" s="7" t="n">
        <v>0</v>
      </c>
      <c r="H88" s="7">
        <f>IF(D88="common",0,IF(D88="rare",1,IF(D88="epic",2,IF(D88="legendary",3,4))))</f>
        <v/>
      </c>
    </row>
    <row r="89">
      <c r="A89" s="7">
        <f>LOWER(Characters!$Q19)&amp;"-s1-epic"</f>
        <v/>
      </c>
      <c r="B89" s="7">
        <f>Characters!$Q19</f>
        <v/>
      </c>
      <c r="C89" s="7" t="inlineStr">
        <is>
          <t>S1</t>
        </is>
      </c>
      <c r="D89" s="7" t="inlineStr">
        <is>
          <t>epic</t>
        </is>
      </c>
      <c r="E89" s="7">
        <f>Characters!$S19-"&amp;Characters!$Q19-"&amp;UPPER(LEFT("epic",1))</f>
        <v/>
      </c>
      <c r="F89" s="7">
        <f>IF(D89="legendary",1000,IF(D89="secret",100,""))</f>
        <v/>
      </c>
      <c r="G89" s="7" t="n">
        <v>0</v>
      </c>
      <c r="H89" s="7">
        <f>IF(D89="common",0,IF(D89="rare",1,IF(D89="epic",2,IF(D89="legendary",3,4))))</f>
        <v/>
      </c>
    </row>
    <row r="90">
      <c r="A90" s="7">
        <f>LOWER(Characters!$Q19)&amp;"-s1-legendary"</f>
        <v/>
      </c>
      <c r="B90" s="7">
        <f>Characters!$Q19</f>
        <v/>
      </c>
      <c r="C90" s="7" t="inlineStr">
        <is>
          <t>S1</t>
        </is>
      </c>
      <c r="D90" s="7" t="inlineStr">
        <is>
          <t>legendary</t>
        </is>
      </c>
      <c r="E90" s="7">
        <f>Characters!$S19-"&amp;Characters!$Q19-"&amp;UPPER(LEFT("legendary",1))</f>
        <v/>
      </c>
      <c r="F90" s="7">
        <f>IF(D90="legendary",1000,IF(D90="secret",100,""))</f>
        <v/>
      </c>
      <c r="G90" s="7" t="n">
        <v>0</v>
      </c>
      <c r="H90" s="7">
        <f>IF(D90="common",0,IF(D90="rare",1,IF(D90="epic",2,IF(D90="legendary",3,4))))</f>
        <v/>
      </c>
    </row>
    <row r="91">
      <c r="A91" s="7">
        <f>LOWER(Characters!$Q19)&amp;"-s1-secret"</f>
        <v/>
      </c>
      <c r="B91" s="7">
        <f>Characters!$Q19</f>
        <v/>
      </c>
      <c r="C91" s="7" t="inlineStr">
        <is>
          <t>S1</t>
        </is>
      </c>
      <c r="D91" s="7" t="inlineStr">
        <is>
          <t>secret</t>
        </is>
      </c>
      <c r="E91" s="7">
        <f>Characters!$S19-"&amp;Characters!$Q19-"&amp;UPPER(LEFT("secret",1))</f>
        <v/>
      </c>
      <c r="F91" s="7">
        <f>IF(D91="legendary",1000,IF(D91="secret",100,""))</f>
        <v/>
      </c>
      <c r="G91" s="7" t="n">
        <v>0</v>
      </c>
      <c r="H91" s="7">
        <f>IF(D91="common",0,IF(D91="rare",1,IF(D91="epic",2,IF(D91="legendary",3,4))))</f>
        <v/>
      </c>
    </row>
    <row r="92">
      <c r="A92" s="7">
        <f>LOWER(Characters!$Q20)&amp;"-s1-common"</f>
        <v/>
      </c>
      <c r="B92" s="7">
        <f>Characters!$Q20</f>
        <v/>
      </c>
      <c r="C92" s="7" t="inlineStr">
        <is>
          <t>S1</t>
        </is>
      </c>
      <c r="D92" s="7" t="inlineStr">
        <is>
          <t>common</t>
        </is>
      </c>
      <c r="E92" s="7">
        <f>Characters!$S20-"&amp;Characters!$Q20-"&amp;UPPER(LEFT("common",1))</f>
        <v/>
      </c>
      <c r="F92" s="7">
        <f>IF(D92="legendary",1000,IF(D92="secret",100,""))</f>
        <v/>
      </c>
      <c r="G92" s="7" t="n">
        <v>0</v>
      </c>
      <c r="H92" s="7">
        <f>IF(D92="common",0,IF(D92="rare",1,IF(D92="epic",2,IF(D92="legendary",3,4))))</f>
        <v/>
      </c>
    </row>
    <row r="93">
      <c r="A93" s="7">
        <f>LOWER(Characters!$Q20)&amp;"-s1-rare"</f>
        <v/>
      </c>
      <c r="B93" s="7">
        <f>Characters!$Q20</f>
        <v/>
      </c>
      <c r="C93" s="7" t="inlineStr">
        <is>
          <t>S1</t>
        </is>
      </c>
      <c r="D93" s="7" t="inlineStr">
        <is>
          <t>rare</t>
        </is>
      </c>
      <c r="E93" s="7">
        <f>Characters!$S20-"&amp;Characters!$Q20-"&amp;UPPER(LEFT("rare",1))</f>
        <v/>
      </c>
      <c r="F93" s="7">
        <f>IF(D93="legendary",1000,IF(D93="secret",100,""))</f>
        <v/>
      </c>
      <c r="G93" s="7" t="n">
        <v>0</v>
      </c>
      <c r="H93" s="7">
        <f>IF(D93="common",0,IF(D93="rare",1,IF(D93="epic",2,IF(D93="legendary",3,4))))</f>
        <v/>
      </c>
    </row>
    <row r="94">
      <c r="A94" s="7">
        <f>LOWER(Characters!$Q20)&amp;"-s1-epic"</f>
        <v/>
      </c>
      <c r="B94" s="7">
        <f>Characters!$Q20</f>
        <v/>
      </c>
      <c r="C94" s="7" t="inlineStr">
        <is>
          <t>S1</t>
        </is>
      </c>
      <c r="D94" s="7" t="inlineStr">
        <is>
          <t>epic</t>
        </is>
      </c>
      <c r="E94" s="7">
        <f>Characters!$S20-"&amp;Characters!$Q20-"&amp;UPPER(LEFT("epic",1))</f>
        <v/>
      </c>
      <c r="F94" s="7">
        <f>IF(D94="legendary",1000,IF(D94="secret",100,""))</f>
        <v/>
      </c>
      <c r="G94" s="7" t="n">
        <v>0</v>
      </c>
      <c r="H94" s="7">
        <f>IF(D94="common",0,IF(D94="rare",1,IF(D94="epic",2,IF(D94="legendary",3,4))))</f>
        <v/>
      </c>
    </row>
    <row r="95">
      <c r="A95" s="7">
        <f>LOWER(Characters!$Q20)&amp;"-s1-legendary"</f>
        <v/>
      </c>
      <c r="B95" s="7">
        <f>Characters!$Q20</f>
        <v/>
      </c>
      <c r="C95" s="7" t="inlineStr">
        <is>
          <t>S1</t>
        </is>
      </c>
      <c r="D95" s="7" t="inlineStr">
        <is>
          <t>legendary</t>
        </is>
      </c>
      <c r="E95" s="7">
        <f>Characters!$S20-"&amp;Characters!$Q20-"&amp;UPPER(LEFT("legendary",1))</f>
        <v/>
      </c>
      <c r="F95" s="7">
        <f>IF(D95="legendary",1000,IF(D95="secret",100,""))</f>
        <v/>
      </c>
      <c r="G95" s="7" t="n">
        <v>0</v>
      </c>
      <c r="H95" s="7">
        <f>IF(D95="common",0,IF(D95="rare",1,IF(D95="epic",2,IF(D95="legendary",3,4))))</f>
        <v/>
      </c>
    </row>
    <row r="96">
      <c r="A96" s="7">
        <f>LOWER(Characters!$Q20)&amp;"-s1-secret"</f>
        <v/>
      </c>
      <c r="B96" s="7">
        <f>Characters!$Q20</f>
        <v/>
      </c>
      <c r="C96" s="7" t="inlineStr">
        <is>
          <t>S1</t>
        </is>
      </c>
      <c r="D96" s="7" t="inlineStr">
        <is>
          <t>secret</t>
        </is>
      </c>
      <c r="E96" s="7">
        <f>Characters!$S20-"&amp;Characters!$Q20-"&amp;UPPER(LEFT("secret",1))</f>
        <v/>
      </c>
      <c r="F96" s="7">
        <f>IF(D96="legendary",1000,IF(D96="secret",100,""))</f>
        <v/>
      </c>
      <c r="G96" s="7" t="n">
        <v>0</v>
      </c>
      <c r="H96" s="7">
        <f>IF(D96="common",0,IF(D96="rare",1,IF(D96="epic",2,IF(D96="legendary",3,4))))</f>
        <v/>
      </c>
    </row>
    <row r="97">
      <c r="A97" s="7">
        <f>LOWER(Characters!$Q21)&amp;"-s1-common"</f>
        <v/>
      </c>
      <c r="B97" s="7">
        <f>Characters!$Q21</f>
        <v/>
      </c>
      <c r="C97" s="7" t="inlineStr">
        <is>
          <t>S1</t>
        </is>
      </c>
      <c r="D97" s="7" t="inlineStr">
        <is>
          <t>common</t>
        </is>
      </c>
      <c r="E97" s="7">
        <f>Characters!$S21-"&amp;Characters!$Q21-"&amp;UPPER(LEFT("common",1))</f>
        <v/>
      </c>
      <c r="F97" s="7">
        <f>IF(D97="legendary",1000,IF(D97="secret",100,""))</f>
        <v/>
      </c>
      <c r="G97" s="7" t="n">
        <v>0</v>
      </c>
      <c r="H97" s="7">
        <f>IF(D97="common",0,IF(D97="rare",1,IF(D97="epic",2,IF(D97="legendary",3,4))))</f>
        <v/>
      </c>
    </row>
    <row r="98">
      <c r="A98" s="7">
        <f>LOWER(Characters!$Q21)&amp;"-s1-rare"</f>
        <v/>
      </c>
      <c r="B98" s="7">
        <f>Characters!$Q21</f>
        <v/>
      </c>
      <c r="C98" s="7" t="inlineStr">
        <is>
          <t>S1</t>
        </is>
      </c>
      <c r="D98" s="7" t="inlineStr">
        <is>
          <t>rare</t>
        </is>
      </c>
      <c r="E98" s="7">
        <f>Characters!$S21-"&amp;Characters!$Q21-"&amp;UPPER(LEFT("rare",1))</f>
        <v/>
      </c>
      <c r="F98" s="7">
        <f>IF(D98="legendary",1000,IF(D98="secret",100,""))</f>
        <v/>
      </c>
      <c r="G98" s="7" t="n">
        <v>0</v>
      </c>
      <c r="H98" s="7">
        <f>IF(D98="common",0,IF(D98="rare",1,IF(D98="epic",2,IF(D98="legendary",3,4))))</f>
        <v/>
      </c>
    </row>
    <row r="99">
      <c r="A99" s="7">
        <f>LOWER(Characters!$Q21)&amp;"-s1-epic"</f>
        <v/>
      </c>
      <c r="B99" s="7">
        <f>Characters!$Q21</f>
        <v/>
      </c>
      <c r="C99" s="7" t="inlineStr">
        <is>
          <t>S1</t>
        </is>
      </c>
      <c r="D99" s="7" t="inlineStr">
        <is>
          <t>epic</t>
        </is>
      </c>
      <c r="E99" s="7">
        <f>Characters!$S21-"&amp;Characters!$Q21-"&amp;UPPER(LEFT("epic",1))</f>
        <v/>
      </c>
      <c r="F99" s="7">
        <f>IF(D99="legendary",1000,IF(D99="secret",100,""))</f>
        <v/>
      </c>
      <c r="G99" s="7" t="n">
        <v>0</v>
      </c>
      <c r="H99" s="7">
        <f>IF(D99="common",0,IF(D99="rare",1,IF(D99="epic",2,IF(D99="legendary",3,4))))</f>
        <v/>
      </c>
    </row>
    <row r="100">
      <c r="A100" s="7">
        <f>LOWER(Characters!$Q21)&amp;"-s1-legendary"</f>
        <v/>
      </c>
      <c r="B100" s="7">
        <f>Characters!$Q21</f>
        <v/>
      </c>
      <c r="C100" s="7" t="inlineStr">
        <is>
          <t>S1</t>
        </is>
      </c>
      <c r="D100" s="7" t="inlineStr">
        <is>
          <t>legendary</t>
        </is>
      </c>
      <c r="E100" s="7">
        <f>Characters!$S21-"&amp;Characters!$Q21-"&amp;UPPER(LEFT("legendary",1))</f>
        <v/>
      </c>
      <c r="F100" s="7">
        <f>IF(D100="legendary",1000,IF(D100="secret",100,""))</f>
        <v/>
      </c>
      <c r="G100" s="7" t="n">
        <v>0</v>
      </c>
      <c r="H100" s="7">
        <f>IF(D100="common",0,IF(D100="rare",1,IF(D100="epic",2,IF(D100="legendary",3,4))))</f>
        <v/>
      </c>
    </row>
    <row r="101">
      <c r="A101" s="7">
        <f>LOWER(Characters!$Q21)&amp;"-s1-secret"</f>
        <v/>
      </c>
      <c r="B101" s="7">
        <f>Characters!$Q21</f>
        <v/>
      </c>
      <c r="C101" s="7" t="inlineStr">
        <is>
          <t>S1</t>
        </is>
      </c>
      <c r="D101" s="7" t="inlineStr">
        <is>
          <t>secret</t>
        </is>
      </c>
      <c r="E101" s="7">
        <f>Characters!$S21-"&amp;Characters!$Q21-"&amp;UPPER(LEFT("secret",1))</f>
        <v/>
      </c>
      <c r="F101" s="7">
        <f>IF(D101="legendary",1000,IF(D101="secret",100,""))</f>
        <v/>
      </c>
      <c r="G101" s="7" t="n">
        <v>0</v>
      </c>
      <c r="H101" s="7">
        <f>IF(D101="common",0,IF(D101="rare",1,IF(D101="epic",2,IF(D101="legendary",3,4))))</f>
        <v/>
      </c>
    </row>
    <row r="102">
      <c r="A102" s="7">
        <f>LOWER(Characters!$Q22)&amp;"-s1-common"</f>
        <v/>
      </c>
      <c r="B102" s="7">
        <f>Characters!$Q22</f>
        <v/>
      </c>
      <c r="C102" s="7" t="inlineStr">
        <is>
          <t>S1</t>
        </is>
      </c>
      <c r="D102" s="7" t="inlineStr">
        <is>
          <t>common</t>
        </is>
      </c>
      <c r="E102" s="7">
        <f>Characters!$S22-"&amp;Characters!$Q22-"&amp;UPPER(LEFT("common",1))</f>
        <v/>
      </c>
      <c r="F102" s="7">
        <f>IF(D102="legendary",1000,IF(D102="secret",100,""))</f>
        <v/>
      </c>
      <c r="G102" s="7" t="n">
        <v>0</v>
      </c>
      <c r="H102" s="7">
        <f>IF(D102="common",0,IF(D102="rare",1,IF(D102="epic",2,IF(D102="legendary",3,4))))</f>
        <v/>
      </c>
    </row>
    <row r="103">
      <c r="A103" s="7">
        <f>LOWER(Characters!$Q22)&amp;"-s1-rare"</f>
        <v/>
      </c>
      <c r="B103" s="7">
        <f>Characters!$Q22</f>
        <v/>
      </c>
      <c r="C103" s="7" t="inlineStr">
        <is>
          <t>S1</t>
        </is>
      </c>
      <c r="D103" s="7" t="inlineStr">
        <is>
          <t>rare</t>
        </is>
      </c>
      <c r="E103" s="7">
        <f>Characters!$S22-"&amp;Characters!$Q22-"&amp;UPPER(LEFT("rare",1))</f>
        <v/>
      </c>
      <c r="F103" s="7">
        <f>IF(D103="legendary",1000,IF(D103="secret",100,""))</f>
        <v/>
      </c>
      <c r="G103" s="7" t="n">
        <v>0</v>
      </c>
      <c r="H103" s="7">
        <f>IF(D103="common",0,IF(D103="rare",1,IF(D103="epic",2,IF(D103="legendary",3,4))))</f>
        <v/>
      </c>
    </row>
    <row r="104">
      <c r="A104" s="7">
        <f>LOWER(Characters!$Q22)&amp;"-s1-epic"</f>
        <v/>
      </c>
      <c r="B104" s="7">
        <f>Characters!$Q22</f>
        <v/>
      </c>
      <c r="C104" s="7" t="inlineStr">
        <is>
          <t>S1</t>
        </is>
      </c>
      <c r="D104" s="7" t="inlineStr">
        <is>
          <t>epic</t>
        </is>
      </c>
      <c r="E104" s="7">
        <f>Characters!$S22-"&amp;Characters!$Q22-"&amp;UPPER(LEFT("epic",1))</f>
        <v/>
      </c>
      <c r="F104" s="7">
        <f>IF(D104="legendary",1000,IF(D104="secret",100,""))</f>
        <v/>
      </c>
      <c r="G104" s="7" t="n">
        <v>0</v>
      </c>
      <c r="H104" s="7">
        <f>IF(D104="common",0,IF(D104="rare",1,IF(D104="epic",2,IF(D104="legendary",3,4))))</f>
        <v/>
      </c>
    </row>
    <row r="105">
      <c r="A105" s="7">
        <f>LOWER(Characters!$Q22)&amp;"-s1-legendary"</f>
        <v/>
      </c>
      <c r="B105" s="7">
        <f>Characters!$Q22</f>
        <v/>
      </c>
      <c r="C105" s="7" t="inlineStr">
        <is>
          <t>S1</t>
        </is>
      </c>
      <c r="D105" s="7" t="inlineStr">
        <is>
          <t>legendary</t>
        </is>
      </c>
      <c r="E105" s="7">
        <f>Characters!$S22-"&amp;Characters!$Q22-"&amp;UPPER(LEFT("legendary",1))</f>
        <v/>
      </c>
      <c r="F105" s="7">
        <f>IF(D105="legendary",1000,IF(D105="secret",100,""))</f>
        <v/>
      </c>
      <c r="G105" s="7" t="n">
        <v>0</v>
      </c>
      <c r="H105" s="7">
        <f>IF(D105="common",0,IF(D105="rare",1,IF(D105="epic",2,IF(D105="legendary",3,4))))</f>
        <v/>
      </c>
    </row>
    <row r="106">
      <c r="A106" s="7">
        <f>LOWER(Characters!$Q22)&amp;"-s1-secret"</f>
        <v/>
      </c>
      <c r="B106" s="7">
        <f>Characters!$Q22</f>
        <v/>
      </c>
      <c r="C106" s="7" t="inlineStr">
        <is>
          <t>S1</t>
        </is>
      </c>
      <c r="D106" s="7" t="inlineStr">
        <is>
          <t>secret</t>
        </is>
      </c>
      <c r="E106" s="7">
        <f>Characters!$S22-"&amp;Characters!$Q22-"&amp;UPPER(LEFT("secret",1))</f>
        <v/>
      </c>
      <c r="F106" s="7">
        <f>IF(D106="legendary",1000,IF(D106="secret",100,""))</f>
        <v/>
      </c>
      <c r="G106" s="7" t="n">
        <v>0</v>
      </c>
      <c r="H106" s="7">
        <f>IF(D106="common",0,IF(D106="rare",1,IF(D106="epic",2,IF(D106="legendary",3,4))))</f>
        <v/>
      </c>
    </row>
    <row r="107">
      <c r="A107" s="7">
        <f>LOWER(Characters!$Q23)&amp;"-s1-common"</f>
        <v/>
      </c>
      <c r="B107" s="7">
        <f>Characters!$Q23</f>
        <v/>
      </c>
      <c r="C107" s="7" t="inlineStr">
        <is>
          <t>S1</t>
        </is>
      </c>
      <c r="D107" s="7" t="inlineStr">
        <is>
          <t>common</t>
        </is>
      </c>
      <c r="E107" s="7">
        <f>Characters!$S23-"&amp;Characters!$Q23-"&amp;UPPER(LEFT("common",1))</f>
        <v/>
      </c>
      <c r="F107" s="7">
        <f>IF(D107="legendary",1000,IF(D107="secret",100,""))</f>
        <v/>
      </c>
      <c r="G107" s="7" t="n">
        <v>0</v>
      </c>
      <c r="H107" s="7">
        <f>IF(D107="common",0,IF(D107="rare",1,IF(D107="epic",2,IF(D107="legendary",3,4))))</f>
        <v/>
      </c>
    </row>
    <row r="108">
      <c r="A108" s="7">
        <f>LOWER(Characters!$Q23)&amp;"-s1-rare"</f>
        <v/>
      </c>
      <c r="B108" s="7">
        <f>Characters!$Q23</f>
        <v/>
      </c>
      <c r="C108" s="7" t="inlineStr">
        <is>
          <t>S1</t>
        </is>
      </c>
      <c r="D108" s="7" t="inlineStr">
        <is>
          <t>rare</t>
        </is>
      </c>
      <c r="E108" s="7">
        <f>Characters!$S23-"&amp;Characters!$Q23-"&amp;UPPER(LEFT("rare",1))</f>
        <v/>
      </c>
      <c r="F108" s="7">
        <f>IF(D108="legendary",1000,IF(D108="secret",100,""))</f>
        <v/>
      </c>
      <c r="G108" s="7" t="n">
        <v>0</v>
      </c>
      <c r="H108" s="7">
        <f>IF(D108="common",0,IF(D108="rare",1,IF(D108="epic",2,IF(D108="legendary",3,4))))</f>
        <v/>
      </c>
    </row>
    <row r="109">
      <c r="A109" s="7">
        <f>LOWER(Characters!$Q23)&amp;"-s1-epic"</f>
        <v/>
      </c>
      <c r="B109" s="7">
        <f>Characters!$Q23</f>
        <v/>
      </c>
      <c r="C109" s="7" t="inlineStr">
        <is>
          <t>S1</t>
        </is>
      </c>
      <c r="D109" s="7" t="inlineStr">
        <is>
          <t>epic</t>
        </is>
      </c>
      <c r="E109" s="7">
        <f>Characters!$S23-"&amp;Characters!$Q23-"&amp;UPPER(LEFT("epic",1))</f>
        <v/>
      </c>
      <c r="F109" s="7">
        <f>IF(D109="legendary",1000,IF(D109="secret",100,""))</f>
        <v/>
      </c>
      <c r="G109" s="7" t="n">
        <v>0</v>
      </c>
      <c r="H109" s="7">
        <f>IF(D109="common",0,IF(D109="rare",1,IF(D109="epic",2,IF(D109="legendary",3,4))))</f>
        <v/>
      </c>
    </row>
    <row r="110">
      <c r="A110" s="7">
        <f>LOWER(Characters!$Q23)&amp;"-s1-legendary"</f>
        <v/>
      </c>
      <c r="B110" s="7">
        <f>Characters!$Q23</f>
        <v/>
      </c>
      <c r="C110" s="7" t="inlineStr">
        <is>
          <t>S1</t>
        </is>
      </c>
      <c r="D110" s="7" t="inlineStr">
        <is>
          <t>legendary</t>
        </is>
      </c>
      <c r="E110" s="7">
        <f>Characters!$S23-"&amp;Characters!$Q23-"&amp;UPPER(LEFT("legendary",1))</f>
        <v/>
      </c>
      <c r="F110" s="7">
        <f>IF(D110="legendary",1000,IF(D110="secret",100,""))</f>
        <v/>
      </c>
      <c r="G110" s="7" t="n">
        <v>0</v>
      </c>
      <c r="H110" s="7">
        <f>IF(D110="common",0,IF(D110="rare",1,IF(D110="epic",2,IF(D110="legendary",3,4))))</f>
        <v/>
      </c>
    </row>
    <row r="111">
      <c r="A111" s="7">
        <f>LOWER(Characters!$Q23)&amp;"-s1-secret"</f>
        <v/>
      </c>
      <c r="B111" s="7">
        <f>Characters!$Q23</f>
        <v/>
      </c>
      <c r="C111" s="7" t="inlineStr">
        <is>
          <t>S1</t>
        </is>
      </c>
      <c r="D111" s="7" t="inlineStr">
        <is>
          <t>secret</t>
        </is>
      </c>
      <c r="E111" s="7">
        <f>Characters!$S23-"&amp;Characters!$Q23-"&amp;UPPER(LEFT("secret",1))</f>
        <v/>
      </c>
      <c r="F111" s="7">
        <f>IF(D111="legendary",1000,IF(D111="secret",100,""))</f>
        <v/>
      </c>
      <c r="G111" s="7" t="n">
        <v>0</v>
      </c>
      <c r="H111" s="7">
        <f>IF(D111="common",0,IF(D111="rare",1,IF(D111="epic",2,IF(D111="legendary",3,4))))</f>
        <v/>
      </c>
    </row>
    <row r="112">
      <c r="A112" s="7">
        <f>LOWER(Characters!$Q24)&amp;"-s1-common"</f>
        <v/>
      </c>
      <c r="B112" s="7">
        <f>Characters!$Q24</f>
        <v/>
      </c>
      <c r="C112" s="7" t="inlineStr">
        <is>
          <t>S1</t>
        </is>
      </c>
      <c r="D112" s="7" t="inlineStr">
        <is>
          <t>common</t>
        </is>
      </c>
      <c r="E112" s="7">
        <f>Characters!$S24-"&amp;Characters!$Q24-"&amp;UPPER(LEFT("common",1))</f>
        <v/>
      </c>
      <c r="F112" s="7">
        <f>IF(D112="legendary",1000,IF(D112="secret",100,""))</f>
        <v/>
      </c>
      <c r="G112" s="7" t="n">
        <v>0</v>
      </c>
      <c r="H112" s="7">
        <f>IF(D112="common",0,IF(D112="rare",1,IF(D112="epic",2,IF(D112="legendary",3,4))))</f>
        <v/>
      </c>
    </row>
    <row r="113">
      <c r="A113" s="7">
        <f>LOWER(Characters!$Q24)&amp;"-s1-rare"</f>
        <v/>
      </c>
      <c r="B113" s="7">
        <f>Characters!$Q24</f>
        <v/>
      </c>
      <c r="C113" s="7" t="inlineStr">
        <is>
          <t>S1</t>
        </is>
      </c>
      <c r="D113" s="7" t="inlineStr">
        <is>
          <t>rare</t>
        </is>
      </c>
      <c r="E113" s="7">
        <f>Characters!$S24-"&amp;Characters!$Q24-"&amp;UPPER(LEFT("rare",1))</f>
        <v/>
      </c>
      <c r="F113" s="7">
        <f>IF(D113="legendary",1000,IF(D113="secret",100,""))</f>
        <v/>
      </c>
      <c r="G113" s="7" t="n">
        <v>0</v>
      </c>
      <c r="H113" s="7">
        <f>IF(D113="common",0,IF(D113="rare",1,IF(D113="epic",2,IF(D113="legendary",3,4))))</f>
        <v/>
      </c>
    </row>
    <row r="114">
      <c r="A114" s="7">
        <f>LOWER(Characters!$Q24)&amp;"-s1-epic"</f>
        <v/>
      </c>
      <c r="B114" s="7">
        <f>Characters!$Q24</f>
        <v/>
      </c>
      <c r="C114" s="7" t="inlineStr">
        <is>
          <t>S1</t>
        </is>
      </c>
      <c r="D114" s="7" t="inlineStr">
        <is>
          <t>epic</t>
        </is>
      </c>
      <c r="E114" s="7">
        <f>Characters!$S24-"&amp;Characters!$Q24-"&amp;UPPER(LEFT("epic",1))</f>
        <v/>
      </c>
      <c r="F114" s="7">
        <f>IF(D114="legendary",1000,IF(D114="secret",100,""))</f>
        <v/>
      </c>
      <c r="G114" s="7" t="n">
        <v>0</v>
      </c>
      <c r="H114" s="7">
        <f>IF(D114="common",0,IF(D114="rare",1,IF(D114="epic",2,IF(D114="legendary",3,4))))</f>
        <v/>
      </c>
    </row>
    <row r="115">
      <c r="A115" s="7">
        <f>LOWER(Characters!$Q24)&amp;"-s1-legendary"</f>
        <v/>
      </c>
      <c r="B115" s="7">
        <f>Characters!$Q24</f>
        <v/>
      </c>
      <c r="C115" s="7" t="inlineStr">
        <is>
          <t>S1</t>
        </is>
      </c>
      <c r="D115" s="7" t="inlineStr">
        <is>
          <t>legendary</t>
        </is>
      </c>
      <c r="E115" s="7">
        <f>Characters!$S24-"&amp;Characters!$Q24-"&amp;UPPER(LEFT("legendary",1))</f>
        <v/>
      </c>
      <c r="F115" s="7">
        <f>IF(D115="legendary",1000,IF(D115="secret",100,""))</f>
        <v/>
      </c>
      <c r="G115" s="7" t="n">
        <v>0</v>
      </c>
      <c r="H115" s="7">
        <f>IF(D115="common",0,IF(D115="rare",1,IF(D115="epic",2,IF(D115="legendary",3,4))))</f>
        <v/>
      </c>
    </row>
    <row r="116">
      <c r="A116" s="7">
        <f>LOWER(Characters!$Q24)&amp;"-s1-secret"</f>
        <v/>
      </c>
      <c r="B116" s="7">
        <f>Characters!$Q24</f>
        <v/>
      </c>
      <c r="C116" s="7" t="inlineStr">
        <is>
          <t>S1</t>
        </is>
      </c>
      <c r="D116" s="7" t="inlineStr">
        <is>
          <t>secret</t>
        </is>
      </c>
      <c r="E116" s="7">
        <f>Characters!$S24-"&amp;Characters!$Q24-"&amp;UPPER(LEFT("secret",1))</f>
        <v/>
      </c>
      <c r="F116" s="7">
        <f>IF(D116="legendary",1000,IF(D116="secret",100,""))</f>
        <v/>
      </c>
      <c r="G116" s="7" t="n">
        <v>0</v>
      </c>
      <c r="H116" s="7">
        <f>IF(D116="common",0,IF(D116="rare",1,IF(D116="epic",2,IF(D116="legendary",3,4))))</f>
        <v/>
      </c>
    </row>
    <row r="117">
      <c r="A117" s="7">
        <f>LOWER(Characters!$Q25)&amp;"-s1-common"</f>
        <v/>
      </c>
      <c r="B117" s="7">
        <f>Characters!$Q25</f>
        <v/>
      </c>
      <c r="C117" s="7" t="inlineStr">
        <is>
          <t>S1</t>
        </is>
      </c>
      <c r="D117" s="7" t="inlineStr">
        <is>
          <t>common</t>
        </is>
      </c>
      <c r="E117" s="7">
        <f>Characters!$S25-"&amp;Characters!$Q25-"&amp;UPPER(LEFT("common",1))</f>
        <v/>
      </c>
      <c r="F117" s="7">
        <f>IF(D117="legendary",1000,IF(D117="secret",100,""))</f>
        <v/>
      </c>
      <c r="G117" s="7" t="n">
        <v>0</v>
      </c>
      <c r="H117" s="7">
        <f>IF(D117="common",0,IF(D117="rare",1,IF(D117="epic",2,IF(D117="legendary",3,4))))</f>
        <v/>
      </c>
    </row>
    <row r="118">
      <c r="A118" s="7">
        <f>LOWER(Characters!$Q25)&amp;"-s1-rare"</f>
        <v/>
      </c>
      <c r="B118" s="7">
        <f>Characters!$Q25</f>
        <v/>
      </c>
      <c r="C118" s="7" t="inlineStr">
        <is>
          <t>S1</t>
        </is>
      </c>
      <c r="D118" s="7" t="inlineStr">
        <is>
          <t>rare</t>
        </is>
      </c>
      <c r="E118" s="7">
        <f>Characters!$S25-"&amp;Characters!$Q25-"&amp;UPPER(LEFT("rare",1))</f>
        <v/>
      </c>
      <c r="F118" s="7">
        <f>IF(D118="legendary",1000,IF(D118="secret",100,""))</f>
        <v/>
      </c>
      <c r="G118" s="7" t="n">
        <v>0</v>
      </c>
      <c r="H118" s="7">
        <f>IF(D118="common",0,IF(D118="rare",1,IF(D118="epic",2,IF(D118="legendary",3,4))))</f>
        <v/>
      </c>
    </row>
    <row r="119">
      <c r="A119" s="7">
        <f>LOWER(Characters!$Q25)&amp;"-s1-epic"</f>
        <v/>
      </c>
      <c r="B119" s="7">
        <f>Characters!$Q25</f>
        <v/>
      </c>
      <c r="C119" s="7" t="inlineStr">
        <is>
          <t>S1</t>
        </is>
      </c>
      <c r="D119" s="7" t="inlineStr">
        <is>
          <t>epic</t>
        </is>
      </c>
      <c r="E119" s="7">
        <f>Characters!$S25-"&amp;Characters!$Q25-"&amp;UPPER(LEFT("epic",1))</f>
        <v/>
      </c>
      <c r="F119" s="7">
        <f>IF(D119="legendary",1000,IF(D119="secret",100,""))</f>
        <v/>
      </c>
      <c r="G119" s="7" t="n">
        <v>0</v>
      </c>
      <c r="H119" s="7">
        <f>IF(D119="common",0,IF(D119="rare",1,IF(D119="epic",2,IF(D119="legendary",3,4))))</f>
        <v/>
      </c>
    </row>
    <row r="120">
      <c r="A120" s="7">
        <f>LOWER(Characters!$Q25)&amp;"-s1-legendary"</f>
        <v/>
      </c>
      <c r="B120" s="7">
        <f>Characters!$Q25</f>
        <v/>
      </c>
      <c r="C120" s="7" t="inlineStr">
        <is>
          <t>S1</t>
        </is>
      </c>
      <c r="D120" s="7" t="inlineStr">
        <is>
          <t>legendary</t>
        </is>
      </c>
      <c r="E120" s="7">
        <f>Characters!$S25-"&amp;Characters!$Q25-"&amp;UPPER(LEFT("legendary",1))</f>
        <v/>
      </c>
      <c r="F120" s="7">
        <f>IF(D120="legendary",1000,IF(D120="secret",100,""))</f>
        <v/>
      </c>
      <c r="G120" s="7" t="n">
        <v>0</v>
      </c>
      <c r="H120" s="7">
        <f>IF(D120="common",0,IF(D120="rare",1,IF(D120="epic",2,IF(D120="legendary",3,4))))</f>
        <v/>
      </c>
    </row>
    <row r="121">
      <c r="A121" s="7">
        <f>LOWER(Characters!$Q25)&amp;"-s1-secret"</f>
        <v/>
      </c>
      <c r="B121" s="7">
        <f>Characters!$Q25</f>
        <v/>
      </c>
      <c r="C121" s="7" t="inlineStr">
        <is>
          <t>S1</t>
        </is>
      </c>
      <c r="D121" s="7" t="inlineStr">
        <is>
          <t>secret</t>
        </is>
      </c>
      <c r="E121" s="7">
        <f>Characters!$S25-"&amp;Characters!$Q25-"&amp;UPPER(LEFT("secret",1))</f>
        <v/>
      </c>
      <c r="F121" s="7">
        <f>IF(D121="legendary",1000,IF(D121="secret",100,""))</f>
        <v/>
      </c>
      <c r="G121" s="7" t="n">
        <v>0</v>
      </c>
      <c r="H121" s="7">
        <f>IF(D121="common",0,IF(D121="rare",1,IF(D121="epic",2,IF(D121="legendary",3,4))))</f>
        <v/>
      </c>
    </row>
    <row r="122">
      <c r="A122" s="7">
        <f>LOWER(Characters!$Q26)&amp;"-s1-common"</f>
        <v/>
      </c>
      <c r="B122" s="7">
        <f>Characters!$Q26</f>
        <v/>
      </c>
      <c r="C122" s="7" t="inlineStr">
        <is>
          <t>S1</t>
        </is>
      </c>
      <c r="D122" s="7" t="inlineStr">
        <is>
          <t>common</t>
        </is>
      </c>
      <c r="E122" s="7">
        <f>Characters!$S26-"&amp;Characters!$Q26-"&amp;UPPER(LEFT("common",1))</f>
        <v/>
      </c>
      <c r="F122" s="7">
        <f>IF(D122="legendary",1000,IF(D122="secret",100,""))</f>
        <v/>
      </c>
      <c r="G122" s="7" t="n">
        <v>0</v>
      </c>
      <c r="H122" s="7">
        <f>IF(D122="common",0,IF(D122="rare",1,IF(D122="epic",2,IF(D122="legendary",3,4))))</f>
        <v/>
      </c>
    </row>
    <row r="123">
      <c r="A123" s="7">
        <f>LOWER(Characters!$Q26)&amp;"-s1-rare"</f>
        <v/>
      </c>
      <c r="B123" s="7">
        <f>Characters!$Q26</f>
        <v/>
      </c>
      <c r="C123" s="7" t="inlineStr">
        <is>
          <t>S1</t>
        </is>
      </c>
      <c r="D123" s="7" t="inlineStr">
        <is>
          <t>rare</t>
        </is>
      </c>
      <c r="E123" s="7">
        <f>Characters!$S26-"&amp;Characters!$Q26-"&amp;UPPER(LEFT("rare",1))</f>
        <v/>
      </c>
      <c r="F123" s="7">
        <f>IF(D123="legendary",1000,IF(D123="secret",100,""))</f>
        <v/>
      </c>
      <c r="G123" s="7" t="n">
        <v>0</v>
      </c>
      <c r="H123" s="7">
        <f>IF(D123="common",0,IF(D123="rare",1,IF(D123="epic",2,IF(D123="legendary",3,4))))</f>
        <v/>
      </c>
    </row>
    <row r="124">
      <c r="A124" s="7">
        <f>LOWER(Characters!$Q26)&amp;"-s1-epic"</f>
        <v/>
      </c>
      <c r="B124" s="7">
        <f>Characters!$Q26</f>
        <v/>
      </c>
      <c r="C124" s="7" t="inlineStr">
        <is>
          <t>S1</t>
        </is>
      </c>
      <c r="D124" s="7" t="inlineStr">
        <is>
          <t>epic</t>
        </is>
      </c>
      <c r="E124" s="7">
        <f>Characters!$S26-"&amp;Characters!$Q26-"&amp;UPPER(LEFT("epic",1))</f>
        <v/>
      </c>
      <c r="F124" s="7">
        <f>IF(D124="legendary",1000,IF(D124="secret",100,""))</f>
        <v/>
      </c>
      <c r="G124" s="7" t="n">
        <v>0</v>
      </c>
      <c r="H124" s="7">
        <f>IF(D124="common",0,IF(D124="rare",1,IF(D124="epic",2,IF(D124="legendary",3,4))))</f>
        <v/>
      </c>
    </row>
    <row r="125">
      <c r="A125" s="7">
        <f>LOWER(Characters!$Q26)&amp;"-s1-legendary"</f>
        <v/>
      </c>
      <c r="B125" s="7">
        <f>Characters!$Q26</f>
        <v/>
      </c>
      <c r="C125" s="7" t="inlineStr">
        <is>
          <t>S1</t>
        </is>
      </c>
      <c r="D125" s="7" t="inlineStr">
        <is>
          <t>legendary</t>
        </is>
      </c>
      <c r="E125" s="7">
        <f>Characters!$S26-"&amp;Characters!$Q26-"&amp;UPPER(LEFT("legendary",1))</f>
        <v/>
      </c>
      <c r="F125" s="7">
        <f>IF(D125="legendary",1000,IF(D125="secret",100,""))</f>
        <v/>
      </c>
      <c r="G125" s="7" t="n">
        <v>0</v>
      </c>
      <c r="H125" s="7">
        <f>IF(D125="common",0,IF(D125="rare",1,IF(D125="epic",2,IF(D125="legendary",3,4))))</f>
        <v/>
      </c>
    </row>
    <row r="126">
      <c r="A126" s="7">
        <f>LOWER(Characters!$Q26)&amp;"-s1-secret"</f>
        <v/>
      </c>
      <c r="B126" s="7">
        <f>Characters!$Q26</f>
        <v/>
      </c>
      <c r="C126" s="7" t="inlineStr">
        <is>
          <t>S1</t>
        </is>
      </c>
      <c r="D126" s="7" t="inlineStr">
        <is>
          <t>secret</t>
        </is>
      </c>
      <c r="E126" s="7">
        <f>Characters!$S26-"&amp;Characters!$Q26-"&amp;UPPER(LEFT("secret",1))</f>
        <v/>
      </c>
      <c r="F126" s="7">
        <f>IF(D126="legendary",1000,IF(D126="secret",100,""))</f>
        <v/>
      </c>
      <c r="G126" s="7" t="n">
        <v>0</v>
      </c>
      <c r="H126" s="7">
        <f>IF(D126="common",0,IF(D126="rare",1,IF(D126="epic",2,IF(D126="legendary",3,4))))</f>
        <v/>
      </c>
    </row>
    <row r="127">
      <c r="A127" s="7">
        <f>LOWER(Characters!$Q27)&amp;"-s1-common"</f>
        <v/>
      </c>
      <c r="B127" s="7">
        <f>Characters!$Q27</f>
        <v/>
      </c>
      <c r="C127" s="7" t="inlineStr">
        <is>
          <t>S1</t>
        </is>
      </c>
      <c r="D127" s="7" t="inlineStr">
        <is>
          <t>common</t>
        </is>
      </c>
      <c r="E127" s="7">
        <f>Characters!$S27-"&amp;Characters!$Q27-"&amp;UPPER(LEFT("common",1))</f>
        <v/>
      </c>
      <c r="F127" s="7">
        <f>IF(D127="legendary",1000,IF(D127="secret",100,""))</f>
        <v/>
      </c>
      <c r="G127" s="7" t="n">
        <v>0</v>
      </c>
      <c r="H127" s="7">
        <f>IF(D127="common",0,IF(D127="rare",1,IF(D127="epic",2,IF(D127="legendary",3,4))))</f>
        <v/>
      </c>
    </row>
    <row r="128">
      <c r="A128" s="7">
        <f>LOWER(Characters!$Q27)&amp;"-s1-rare"</f>
        <v/>
      </c>
      <c r="B128" s="7">
        <f>Characters!$Q27</f>
        <v/>
      </c>
      <c r="C128" s="7" t="inlineStr">
        <is>
          <t>S1</t>
        </is>
      </c>
      <c r="D128" s="7" t="inlineStr">
        <is>
          <t>rare</t>
        </is>
      </c>
      <c r="E128" s="7">
        <f>Characters!$S27-"&amp;Characters!$Q27-"&amp;UPPER(LEFT("rare",1))</f>
        <v/>
      </c>
      <c r="F128" s="7">
        <f>IF(D128="legendary",1000,IF(D128="secret",100,""))</f>
        <v/>
      </c>
      <c r="G128" s="7" t="n">
        <v>0</v>
      </c>
      <c r="H128" s="7">
        <f>IF(D128="common",0,IF(D128="rare",1,IF(D128="epic",2,IF(D128="legendary",3,4))))</f>
        <v/>
      </c>
    </row>
    <row r="129">
      <c r="A129" s="7">
        <f>LOWER(Characters!$Q27)&amp;"-s1-epic"</f>
        <v/>
      </c>
      <c r="B129" s="7">
        <f>Characters!$Q27</f>
        <v/>
      </c>
      <c r="C129" s="7" t="inlineStr">
        <is>
          <t>S1</t>
        </is>
      </c>
      <c r="D129" s="7" t="inlineStr">
        <is>
          <t>epic</t>
        </is>
      </c>
      <c r="E129" s="7">
        <f>Characters!$S27-"&amp;Characters!$Q27-"&amp;UPPER(LEFT("epic",1))</f>
        <v/>
      </c>
      <c r="F129" s="7">
        <f>IF(D129="legendary",1000,IF(D129="secret",100,""))</f>
        <v/>
      </c>
      <c r="G129" s="7" t="n">
        <v>0</v>
      </c>
      <c r="H129" s="7">
        <f>IF(D129="common",0,IF(D129="rare",1,IF(D129="epic",2,IF(D129="legendary",3,4))))</f>
        <v/>
      </c>
    </row>
    <row r="130">
      <c r="A130" s="7">
        <f>LOWER(Characters!$Q27)&amp;"-s1-legendary"</f>
        <v/>
      </c>
      <c r="B130" s="7">
        <f>Characters!$Q27</f>
        <v/>
      </c>
      <c r="C130" s="7" t="inlineStr">
        <is>
          <t>S1</t>
        </is>
      </c>
      <c r="D130" s="7" t="inlineStr">
        <is>
          <t>legendary</t>
        </is>
      </c>
      <c r="E130" s="7">
        <f>Characters!$S27-"&amp;Characters!$Q27-"&amp;UPPER(LEFT("legendary",1))</f>
        <v/>
      </c>
      <c r="F130" s="7">
        <f>IF(D130="legendary",1000,IF(D130="secret",100,""))</f>
        <v/>
      </c>
      <c r="G130" s="7" t="n">
        <v>0</v>
      </c>
      <c r="H130" s="7">
        <f>IF(D130="common",0,IF(D130="rare",1,IF(D130="epic",2,IF(D130="legendary",3,4))))</f>
        <v/>
      </c>
    </row>
    <row r="131">
      <c r="A131" s="7">
        <f>LOWER(Characters!$Q27)&amp;"-s1-secret"</f>
        <v/>
      </c>
      <c r="B131" s="7">
        <f>Characters!$Q27</f>
        <v/>
      </c>
      <c r="C131" s="7" t="inlineStr">
        <is>
          <t>S1</t>
        </is>
      </c>
      <c r="D131" s="7" t="inlineStr">
        <is>
          <t>secret</t>
        </is>
      </c>
      <c r="E131" s="7">
        <f>Characters!$S27-"&amp;Characters!$Q27-"&amp;UPPER(LEFT("secret",1))</f>
        <v/>
      </c>
      <c r="F131" s="7">
        <f>IF(D131="legendary",1000,IF(D131="secret",100,""))</f>
        <v/>
      </c>
      <c r="G131" s="7" t="n">
        <v>0</v>
      </c>
      <c r="H131" s="7">
        <f>IF(D131="common",0,IF(D131="rare",1,IF(D131="epic",2,IF(D131="legendary",3,4))))</f>
        <v/>
      </c>
    </row>
    <row r="132">
      <c r="A132" s="7">
        <f>LOWER(Characters!$Q28)&amp;"-s1-common"</f>
        <v/>
      </c>
      <c r="B132" s="7">
        <f>Characters!$Q28</f>
        <v/>
      </c>
      <c r="C132" s="7" t="inlineStr">
        <is>
          <t>S1</t>
        </is>
      </c>
      <c r="D132" s="7" t="inlineStr">
        <is>
          <t>common</t>
        </is>
      </c>
      <c r="E132" s="7">
        <f>Characters!$S28-"&amp;Characters!$Q28-"&amp;UPPER(LEFT("common",1))</f>
        <v/>
      </c>
      <c r="F132" s="7">
        <f>IF(D132="legendary",1000,IF(D132="secret",100,""))</f>
        <v/>
      </c>
      <c r="G132" s="7" t="n">
        <v>0</v>
      </c>
      <c r="H132" s="7">
        <f>IF(D132="common",0,IF(D132="rare",1,IF(D132="epic",2,IF(D132="legendary",3,4))))</f>
        <v/>
      </c>
    </row>
    <row r="133">
      <c r="A133" s="7">
        <f>LOWER(Characters!$Q28)&amp;"-s1-rare"</f>
        <v/>
      </c>
      <c r="B133" s="7">
        <f>Characters!$Q28</f>
        <v/>
      </c>
      <c r="C133" s="7" t="inlineStr">
        <is>
          <t>S1</t>
        </is>
      </c>
      <c r="D133" s="7" t="inlineStr">
        <is>
          <t>rare</t>
        </is>
      </c>
      <c r="E133" s="7">
        <f>Characters!$S28-"&amp;Characters!$Q28-"&amp;UPPER(LEFT("rare",1))</f>
        <v/>
      </c>
      <c r="F133" s="7">
        <f>IF(D133="legendary",1000,IF(D133="secret",100,""))</f>
        <v/>
      </c>
      <c r="G133" s="7" t="n">
        <v>0</v>
      </c>
      <c r="H133" s="7">
        <f>IF(D133="common",0,IF(D133="rare",1,IF(D133="epic",2,IF(D133="legendary",3,4))))</f>
        <v/>
      </c>
    </row>
    <row r="134">
      <c r="A134" s="7">
        <f>LOWER(Characters!$Q28)&amp;"-s1-epic"</f>
        <v/>
      </c>
      <c r="B134" s="7">
        <f>Characters!$Q28</f>
        <v/>
      </c>
      <c r="C134" s="7" t="inlineStr">
        <is>
          <t>S1</t>
        </is>
      </c>
      <c r="D134" s="7" t="inlineStr">
        <is>
          <t>epic</t>
        </is>
      </c>
      <c r="E134" s="7">
        <f>Characters!$S28-"&amp;Characters!$Q28-"&amp;UPPER(LEFT("epic",1))</f>
        <v/>
      </c>
      <c r="F134" s="7">
        <f>IF(D134="legendary",1000,IF(D134="secret",100,""))</f>
        <v/>
      </c>
      <c r="G134" s="7" t="n">
        <v>0</v>
      </c>
      <c r="H134" s="7">
        <f>IF(D134="common",0,IF(D134="rare",1,IF(D134="epic",2,IF(D134="legendary",3,4))))</f>
        <v/>
      </c>
    </row>
    <row r="135">
      <c r="A135" s="7">
        <f>LOWER(Characters!$Q28)&amp;"-s1-legendary"</f>
        <v/>
      </c>
      <c r="B135" s="7">
        <f>Characters!$Q28</f>
        <v/>
      </c>
      <c r="C135" s="7" t="inlineStr">
        <is>
          <t>S1</t>
        </is>
      </c>
      <c r="D135" s="7" t="inlineStr">
        <is>
          <t>legendary</t>
        </is>
      </c>
      <c r="E135" s="7">
        <f>Characters!$S28-"&amp;Characters!$Q28-"&amp;UPPER(LEFT("legendary",1))</f>
        <v/>
      </c>
      <c r="F135" s="7">
        <f>IF(D135="legendary",1000,IF(D135="secret",100,""))</f>
        <v/>
      </c>
      <c r="G135" s="7" t="n">
        <v>0</v>
      </c>
      <c r="H135" s="7">
        <f>IF(D135="common",0,IF(D135="rare",1,IF(D135="epic",2,IF(D135="legendary",3,4))))</f>
        <v/>
      </c>
    </row>
    <row r="136">
      <c r="A136" s="7">
        <f>LOWER(Characters!$Q28)&amp;"-s1-secret"</f>
        <v/>
      </c>
      <c r="B136" s="7">
        <f>Characters!$Q28</f>
        <v/>
      </c>
      <c r="C136" s="7" t="inlineStr">
        <is>
          <t>S1</t>
        </is>
      </c>
      <c r="D136" s="7" t="inlineStr">
        <is>
          <t>secret</t>
        </is>
      </c>
      <c r="E136" s="7">
        <f>Characters!$S28-"&amp;Characters!$Q28-"&amp;UPPER(LEFT("secret",1))</f>
        <v/>
      </c>
      <c r="F136" s="7">
        <f>IF(D136="legendary",1000,IF(D136="secret",100,""))</f>
        <v/>
      </c>
      <c r="G136" s="7" t="n">
        <v>0</v>
      </c>
      <c r="H136" s="7">
        <f>IF(D136="common",0,IF(D136="rare",1,IF(D136="epic",2,IF(D136="legendary",3,4))))</f>
        <v/>
      </c>
    </row>
    <row r="137">
      <c r="A137" s="7">
        <f>LOWER(Characters!$Q29)&amp;"-s1-common"</f>
        <v/>
      </c>
      <c r="B137" s="7">
        <f>Characters!$Q29</f>
        <v/>
      </c>
      <c r="C137" s="7" t="inlineStr">
        <is>
          <t>S1</t>
        </is>
      </c>
      <c r="D137" s="7" t="inlineStr">
        <is>
          <t>common</t>
        </is>
      </c>
      <c r="E137" s="7">
        <f>Characters!$S29-"&amp;Characters!$Q29-"&amp;UPPER(LEFT("common",1))</f>
        <v/>
      </c>
      <c r="F137" s="7">
        <f>IF(D137="legendary",1000,IF(D137="secret",100,""))</f>
        <v/>
      </c>
      <c r="G137" s="7" t="n">
        <v>0</v>
      </c>
      <c r="H137" s="7">
        <f>IF(D137="common",0,IF(D137="rare",1,IF(D137="epic",2,IF(D137="legendary",3,4))))</f>
        <v/>
      </c>
    </row>
    <row r="138">
      <c r="A138" s="7">
        <f>LOWER(Characters!$Q29)&amp;"-s1-rare"</f>
        <v/>
      </c>
      <c r="B138" s="7">
        <f>Characters!$Q29</f>
        <v/>
      </c>
      <c r="C138" s="7" t="inlineStr">
        <is>
          <t>S1</t>
        </is>
      </c>
      <c r="D138" s="7" t="inlineStr">
        <is>
          <t>rare</t>
        </is>
      </c>
      <c r="E138" s="7">
        <f>Characters!$S29-"&amp;Characters!$Q29-"&amp;UPPER(LEFT("rare",1))</f>
        <v/>
      </c>
      <c r="F138" s="7">
        <f>IF(D138="legendary",1000,IF(D138="secret",100,""))</f>
        <v/>
      </c>
      <c r="G138" s="7" t="n">
        <v>0</v>
      </c>
      <c r="H138" s="7">
        <f>IF(D138="common",0,IF(D138="rare",1,IF(D138="epic",2,IF(D138="legendary",3,4))))</f>
        <v/>
      </c>
    </row>
    <row r="139">
      <c r="A139" s="7">
        <f>LOWER(Characters!$Q29)&amp;"-s1-epic"</f>
        <v/>
      </c>
      <c r="B139" s="7">
        <f>Characters!$Q29</f>
        <v/>
      </c>
      <c r="C139" s="7" t="inlineStr">
        <is>
          <t>S1</t>
        </is>
      </c>
      <c r="D139" s="7" t="inlineStr">
        <is>
          <t>epic</t>
        </is>
      </c>
      <c r="E139" s="7">
        <f>Characters!$S29-"&amp;Characters!$Q29-"&amp;UPPER(LEFT("epic",1))</f>
        <v/>
      </c>
      <c r="F139" s="7">
        <f>IF(D139="legendary",1000,IF(D139="secret",100,""))</f>
        <v/>
      </c>
      <c r="G139" s="7" t="n">
        <v>0</v>
      </c>
      <c r="H139" s="7">
        <f>IF(D139="common",0,IF(D139="rare",1,IF(D139="epic",2,IF(D139="legendary",3,4))))</f>
        <v/>
      </c>
    </row>
    <row r="140">
      <c r="A140" s="7">
        <f>LOWER(Characters!$Q29)&amp;"-s1-legendary"</f>
        <v/>
      </c>
      <c r="B140" s="7">
        <f>Characters!$Q29</f>
        <v/>
      </c>
      <c r="C140" s="7" t="inlineStr">
        <is>
          <t>S1</t>
        </is>
      </c>
      <c r="D140" s="7" t="inlineStr">
        <is>
          <t>legendary</t>
        </is>
      </c>
      <c r="E140" s="7">
        <f>Characters!$S29-"&amp;Characters!$Q29-"&amp;UPPER(LEFT("legendary",1))</f>
        <v/>
      </c>
      <c r="F140" s="7">
        <f>IF(D140="legendary",1000,IF(D140="secret",100,""))</f>
        <v/>
      </c>
      <c r="G140" s="7" t="n">
        <v>0</v>
      </c>
      <c r="H140" s="7">
        <f>IF(D140="common",0,IF(D140="rare",1,IF(D140="epic",2,IF(D140="legendary",3,4))))</f>
        <v/>
      </c>
    </row>
    <row r="141">
      <c r="A141" s="7">
        <f>LOWER(Characters!$Q29)&amp;"-s1-secret"</f>
        <v/>
      </c>
      <c r="B141" s="7">
        <f>Characters!$Q29</f>
        <v/>
      </c>
      <c r="C141" s="7" t="inlineStr">
        <is>
          <t>S1</t>
        </is>
      </c>
      <c r="D141" s="7" t="inlineStr">
        <is>
          <t>secret</t>
        </is>
      </c>
      <c r="E141" s="7">
        <f>Characters!$S29-"&amp;Characters!$Q29-"&amp;UPPER(LEFT("secret",1))</f>
        <v/>
      </c>
      <c r="F141" s="7">
        <f>IF(D141="legendary",1000,IF(D141="secret",100,""))</f>
        <v/>
      </c>
      <c r="G141" s="7" t="n">
        <v>0</v>
      </c>
      <c r="H141" s="7">
        <f>IF(D141="common",0,IF(D141="rare",1,IF(D141="epic",2,IF(D141="legendary",3,4))))</f>
        <v/>
      </c>
    </row>
    <row r="142">
      <c r="A142" s="7">
        <f>LOWER(Characters!$Q30)&amp;"-s1-common"</f>
        <v/>
      </c>
      <c r="B142" s="7">
        <f>Characters!$Q30</f>
        <v/>
      </c>
      <c r="C142" s="7" t="inlineStr">
        <is>
          <t>S1</t>
        </is>
      </c>
      <c r="D142" s="7" t="inlineStr">
        <is>
          <t>common</t>
        </is>
      </c>
      <c r="E142" s="7">
        <f>Characters!$S30-"&amp;Characters!$Q30-"&amp;UPPER(LEFT("common",1))</f>
        <v/>
      </c>
      <c r="F142" s="7">
        <f>IF(D142="legendary",1000,IF(D142="secret",100,""))</f>
        <v/>
      </c>
      <c r="G142" s="7" t="n">
        <v>0</v>
      </c>
      <c r="H142" s="7">
        <f>IF(D142="common",0,IF(D142="rare",1,IF(D142="epic",2,IF(D142="legendary",3,4))))</f>
        <v/>
      </c>
    </row>
    <row r="143">
      <c r="A143" s="7">
        <f>LOWER(Characters!$Q30)&amp;"-s1-rare"</f>
        <v/>
      </c>
      <c r="B143" s="7">
        <f>Characters!$Q30</f>
        <v/>
      </c>
      <c r="C143" s="7" t="inlineStr">
        <is>
          <t>S1</t>
        </is>
      </c>
      <c r="D143" s="7" t="inlineStr">
        <is>
          <t>rare</t>
        </is>
      </c>
      <c r="E143" s="7">
        <f>Characters!$S30-"&amp;Characters!$Q30-"&amp;UPPER(LEFT("rare",1))</f>
        <v/>
      </c>
      <c r="F143" s="7">
        <f>IF(D143="legendary",1000,IF(D143="secret",100,""))</f>
        <v/>
      </c>
      <c r="G143" s="7" t="n">
        <v>0</v>
      </c>
      <c r="H143" s="7">
        <f>IF(D143="common",0,IF(D143="rare",1,IF(D143="epic",2,IF(D143="legendary",3,4))))</f>
        <v/>
      </c>
    </row>
    <row r="144">
      <c r="A144" s="7">
        <f>LOWER(Characters!$Q30)&amp;"-s1-epic"</f>
        <v/>
      </c>
      <c r="B144" s="7">
        <f>Characters!$Q30</f>
        <v/>
      </c>
      <c r="C144" s="7" t="inlineStr">
        <is>
          <t>S1</t>
        </is>
      </c>
      <c r="D144" s="7" t="inlineStr">
        <is>
          <t>epic</t>
        </is>
      </c>
      <c r="E144" s="7">
        <f>Characters!$S30-"&amp;Characters!$Q30-"&amp;UPPER(LEFT("epic",1))</f>
        <v/>
      </c>
      <c r="F144" s="7">
        <f>IF(D144="legendary",1000,IF(D144="secret",100,""))</f>
        <v/>
      </c>
      <c r="G144" s="7" t="n">
        <v>0</v>
      </c>
      <c r="H144" s="7">
        <f>IF(D144="common",0,IF(D144="rare",1,IF(D144="epic",2,IF(D144="legendary",3,4))))</f>
        <v/>
      </c>
    </row>
    <row r="145">
      <c r="A145" s="7">
        <f>LOWER(Characters!$Q30)&amp;"-s1-legendary"</f>
        <v/>
      </c>
      <c r="B145" s="7">
        <f>Characters!$Q30</f>
        <v/>
      </c>
      <c r="C145" s="7" t="inlineStr">
        <is>
          <t>S1</t>
        </is>
      </c>
      <c r="D145" s="7" t="inlineStr">
        <is>
          <t>legendary</t>
        </is>
      </c>
      <c r="E145" s="7">
        <f>Characters!$S30-"&amp;Characters!$Q30-"&amp;UPPER(LEFT("legendary",1))</f>
        <v/>
      </c>
      <c r="F145" s="7">
        <f>IF(D145="legendary",1000,IF(D145="secret",100,""))</f>
        <v/>
      </c>
      <c r="G145" s="7" t="n">
        <v>0</v>
      </c>
      <c r="H145" s="7">
        <f>IF(D145="common",0,IF(D145="rare",1,IF(D145="epic",2,IF(D145="legendary",3,4))))</f>
        <v/>
      </c>
    </row>
    <row r="146">
      <c r="A146" s="7">
        <f>LOWER(Characters!$Q30)&amp;"-s1-secret"</f>
        <v/>
      </c>
      <c r="B146" s="7">
        <f>Characters!$Q30</f>
        <v/>
      </c>
      <c r="C146" s="7" t="inlineStr">
        <is>
          <t>S1</t>
        </is>
      </c>
      <c r="D146" s="7" t="inlineStr">
        <is>
          <t>secret</t>
        </is>
      </c>
      <c r="E146" s="7">
        <f>Characters!$S30-"&amp;Characters!$Q30-"&amp;UPPER(LEFT("secret",1))</f>
        <v/>
      </c>
      <c r="F146" s="7">
        <f>IF(D146="legendary",1000,IF(D146="secret",100,""))</f>
        <v/>
      </c>
      <c r="G146" s="7" t="n">
        <v>0</v>
      </c>
      <c r="H146" s="7">
        <f>IF(D146="common",0,IF(D146="rare",1,IF(D146="epic",2,IF(D146="legendary",3,4))))</f>
        <v/>
      </c>
    </row>
    <row r="147">
      <c r="A147" s="7">
        <f>LOWER(Characters!$Q31)&amp;"-s1-common"</f>
        <v/>
      </c>
      <c r="B147" s="7">
        <f>Characters!$Q31</f>
        <v/>
      </c>
      <c r="C147" s="7" t="inlineStr">
        <is>
          <t>S1</t>
        </is>
      </c>
      <c r="D147" s="7" t="inlineStr">
        <is>
          <t>common</t>
        </is>
      </c>
      <c r="E147" s="7">
        <f>Characters!$S31-"&amp;Characters!$Q31-"&amp;UPPER(LEFT("common",1))</f>
        <v/>
      </c>
      <c r="F147" s="7">
        <f>IF(D147="legendary",1000,IF(D147="secret",100,""))</f>
        <v/>
      </c>
      <c r="G147" s="7" t="n">
        <v>0</v>
      </c>
      <c r="H147" s="7">
        <f>IF(D147="common",0,IF(D147="rare",1,IF(D147="epic",2,IF(D147="legendary",3,4))))</f>
        <v/>
      </c>
    </row>
    <row r="148">
      <c r="A148" s="7">
        <f>LOWER(Characters!$Q31)&amp;"-s1-rare"</f>
        <v/>
      </c>
      <c r="B148" s="7">
        <f>Characters!$Q31</f>
        <v/>
      </c>
      <c r="C148" s="7" t="inlineStr">
        <is>
          <t>S1</t>
        </is>
      </c>
      <c r="D148" s="7" t="inlineStr">
        <is>
          <t>rare</t>
        </is>
      </c>
      <c r="E148" s="7">
        <f>Characters!$S31-"&amp;Characters!$Q31-"&amp;UPPER(LEFT("rare",1))</f>
        <v/>
      </c>
      <c r="F148" s="7">
        <f>IF(D148="legendary",1000,IF(D148="secret",100,""))</f>
        <v/>
      </c>
      <c r="G148" s="7" t="n">
        <v>0</v>
      </c>
      <c r="H148" s="7">
        <f>IF(D148="common",0,IF(D148="rare",1,IF(D148="epic",2,IF(D148="legendary",3,4))))</f>
        <v/>
      </c>
    </row>
    <row r="149">
      <c r="A149" s="7">
        <f>LOWER(Characters!$Q31)&amp;"-s1-epic"</f>
        <v/>
      </c>
      <c r="B149" s="7">
        <f>Characters!$Q31</f>
        <v/>
      </c>
      <c r="C149" s="7" t="inlineStr">
        <is>
          <t>S1</t>
        </is>
      </c>
      <c r="D149" s="7" t="inlineStr">
        <is>
          <t>epic</t>
        </is>
      </c>
      <c r="E149" s="7">
        <f>Characters!$S31-"&amp;Characters!$Q31-"&amp;UPPER(LEFT("epic",1))</f>
        <v/>
      </c>
      <c r="F149" s="7">
        <f>IF(D149="legendary",1000,IF(D149="secret",100,""))</f>
        <v/>
      </c>
      <c r="G149" s="7" t="n">
        <v>0</v>
      </c>
      <c r="H149" s="7">
        <f>IF(D149="common",0,IF(D149="rare",1,IF(D149="epic",2,IF(D149="legendary",3,4))))</f>
        <v/>
      </c>
    </row>
    <row r="150">
      <c r="A150" s="7">
        <f>LOWER(Characters!$Q31)&amp;"-s1-legendary"</f>
        <v/>
      </c>
      <c r="B150" s="7">
        <f>Characters!$Q31</f>
        <v/>
      </c>
      <c r="C150" s="7" t="inlineStr">
        <is>
          <t>S1</t>
        </is>
      </c>
      <c r="D150" s="7" t="inlineStr">
        <is>
          <t>legendary</t>
        </is>
      </c>
      <c r="E150" s="7">
        <f>Characters!$S31-"&amp;Characters!$Q31-"&amp;UPPER(LEFT("legendary",1))</f>
        <v/>
      </c>
      <c r="F150" s="7">
        <f>IF(D150="legendary",1000,IF(D150="secret",100,""))</f>
        <v/>
      </c>
      <c r="G150" s="7" t="n">
        <v>0</v>
      </c>
      <c r="H150" s="7">
        <f>IF(D150="common",0,IF(D150="rare",1,IF(D150="epic",2,IF(D150="legendary",3,4))))</f>
        <v/>
      </c>
    </row>
    <row r="151">
      <c r="A151" s="7">
        <f>LOWER(Characters!$Q31)&amp;"-s1-secret"</f>
        <v/>
      </c>
      <c r="B151" s="7">
        <f>Characters!$Q31</f>
        <v/>
      </c>
      <c r="C151" s="7" t="inlineStr">
        <is>
          <t>S1</t>
        </is>
      </c>
      <c r="D151" s="7" t="inlineStr">
        <is>
          <t>secret</t>
        </is>
      </c>
      <c r="E151" s="7">
        <f>Characters!$S31-"&amp;Characters!$Q31-"&amp;UPPER(LEFT("secret",1))</f>
        <v/>
      </c>
      <c r="F151" s="7">
        <f>IF(D151="legendary",1000,IF(D151="secret",100,""))</f>
        <v/>
      </c>
      <c r="G151" s="7" t="n">
        <v>0</v>
      </c>
      <c r="H151" s="7">
        <f>IF(D151="common",0,IF(D151="rare",1,IF(D151="epic",2,IF(D151="legendary",3,4))))</f>
        <v/>
      </c>
    </row>
    <row r="152">
      <c r="A152" s="7">
        <f>LOWER(Characters!$Q32)&amp;"-s1-common"</f>
        <v/>
      </c>
      <c r="B152" s="7">
        <f>Characters!$Q32</f>
        <v/>
      </c>
      <c r="C152" s="7" t="inlineStr">
        <is>
          <t>S1</t>
        </is>
      </c>
      <c r="D152" s="7" t="inlineStr">
        <is>
          <t>common</t>
        </is>
      </c>
      <c r="E152" s="7">
        <f>Characters!$S32-"&amp;Characters!$Q32-"&amp;UPPER(LEFT("common",1))</f>
        <v/>
      </c>
      <c r="F152" s="7">
        <f>IF(D152="legendary",1000,IF(D152="secret",100,""))</f>
        <v/>
      </c>
      <c r="G152" s="7" t="n">
        <v>0</v>
      </c>
      <c r="H152" s="7">
        <f>IF(D152="common",0,IF(D152="rare",1,IF(D152="epic",2,IF(D152="legendary",3,4))))</f>
        <v/>
      </c>
    </row>
    <row r="153">
      <c r="A153" s="7">
        <f>LOWER(Characters!$Q32)&amp;"-s1-rare"</f>
        <v/>
      </c>
      <c r="B153" s="7">
        <f>Characters!$Q32</f>
        <v/>
      </c>
      <c r="C153" s="7" t="inlineStr">
        <is>
          <t>S1</t>
        </is>
      </c>
      <c r="D153" s="7" t="inlineStr">
        <is>
          <t>rare</t>
        </is>
      </c>
      <c r="E153" s="7">
        <f>Characters!$S32-"&amp;Characters!$Q32-"&amp;UPPER(LEFT("rare",1))</f>
        <v/>
      </c>
      <c r="F153" s="7">
        <f>IF(D153="legendary",1000,IF(D153="secret",100,""))</f>
        <v/>
      </c>
      <c r="G153" s="7" t="n">
        <v>0</v>
      </c>
      <c r="H153" s="7">
        <f>IF(D153="common",0,IF(D153="rare",1,IF(D153="epic",2,IF(D153="legendary",3,4))))</f>
        <v/>
      </c>
    </row>
    <row r="154">
      <c r="A154" s="7">
        <f>LOWER(Characters!$Q32)&amp;"-s1-epic"</f>
        <v/>
      </c>
      <c r="B154" s="7">
        <f>Characters!$Q32</f>
        <v/>
      </c>
      <c r="C154" s="7" t="inlineStr">
        <is>
          <t>S1</t>
        </is>
      </c>
      <c r="D154" s="7" t="inlineStr">
        <is>
          <t>epic</t>
        </is>
      </c>
      <c r="E154" s="7">
        <f>Characters!$S32-"&amp;Characters!$Q32-"&amp;UPPER(LEFT("epic",1))</f>
        <v/>
      </c>
      <c r="F154" s="7">
        <f>IF(D154="legendary",1000,IF(D154="secret",100,""))</f>
        <v/>
      </c>
      <c r="G154" s="7" t="n">
        <v>0</v>
      </c>
      <c r="H154" s="7">
        <f>IF(D154="common",0,IF(D154="rare",1,IF(D154="epic",2,IF(D154="legendary",3,4))))</f>
        <v/>
      </c>
    </row>
    <row r="155">
      <c r="A155" s="7">
        <f>LOWER(Characters!$Q32)&amp;"-s1-legendary"</f>
        <v/>
      </c>
      <c r="B155" s="7">
        <f>Characters!$Q32</f>
        <v/>
      </c>
      <c r="C155" s="7" t="inlineStr">
        <is>
          <t>S1</t>
        </is>
      </c>
      <c r="D155" s="7" t="inlineStr">
        <is>
          <t>legendary</t>
        </is>
      </c>
      <c r="E155" s="7">
        <f>Characters!$S32-"&amp;Characters!$Q32-"&amp;UPPER(LEFT("legendary",1))</f>
        <v/>
      </c>
      <c r="F155" s="7">
        <f>IF(D155="legendary",1000,IF(D155="secret",100,""))</f>
        <v/>
      </c>
      <c r="G155" s="7" t="n">
        <v>0</v>
      </c>
      <c r="H155" s="7">
        <f>IF(D155="common",0,IF(D155="rare",1,IF(D155="epic",2,IF(D155="legendary",3,4))))</f>
        <v/>
      </c>
    </row>
    <row r="156">
      <c r="A156" s="7">
        <f>LOWER(Characters!$Q32)&amp;"-s1-secret"</f>
        <v/>
      </c>
      <c r="B156" s="7">
        <f>Characters!$Q32</f>
        <v/>
      </c>
      <c r="C156" s="7" t="inlineStr">
        <is>
          <t>S1</t>
        </is>
      </c>
      <c r="D156" s="7" t="inlineStr">
        <is>
          <t>secret</t>
        </is>
      </c>
      <c r="E156" s="7">
        <f>Characters!$S32-"&amp;Characters!$Q32-"&amp;UPPER(LEFT("secret",1))</f>
        <v/>
      </c>
      <c r="F156" s="7">
        <f>IF(D156="legendary",1000,IF(D156="secret",100,""))</f>
        <v/>
      </c>
      <c r="G156" s="7" t="n">
        <v>0</v>
      </c>
      <c r="H156" s="7">
        <f>IF(D156="common",0,IF(D156="rare",1,IF(D156="epic",2,IF(D156="legendary",3,4))))</f>
        <v/>
      </c>
    </row>
    <row r="157">
      <c r="A157" s="7">
        <f>LOWER(Characters!$Q33)&amp;"-s1-common"</f>
        <v/>
      </c>
      <c r="B157" s="7">
        <f>Characters!$Q33</f>
        <v/>
      </c>
      <c r="C157" s="7" t="inlineStr">
        <is>
          <t>S1</t>
        </is>
      </c>
      <c r="D157" s="7" t="inlineStr">
        <is>
          <t>common</t>
        </is>
      </c>
      <c r="E157" s="7">
        <f>Characters!$S33-"&amp;Characters!$Q33-"&amp;UPPER(LEFT("common",1))</f>
        <v/>
      </c>
      <c r="F157" s="7">
        <f>IF(D157="legendary",1000,IF(D157="secret",100,""))</f>
        <v/>
      </c>
      <c r="G157" s="7" t="n">
        <v>0</v>
      </c>
      <c r="H157" s="7">
        <f>IF(D157="common",0,IF(D157="rare",1,IF(D157="epic",2,IF(D157="legendary",3,4))))</f>
        <v/>
      </c>
    </row>
    <row r="158">
      <c r="A158" s="7">
        <f>LOWER(Characters!$Q33)&amp;"-s1-rare"</f>
        <v/>
      </c>
      <c r="B158" s="7">
        <f>Characters!$Q33</f>
        <v/>
      </c>
      <c r="C158" s="7" t="inlineStr">
        <is>
          <t>S1</t>
        </is>
      </c>
      <c r="D158" s="7" t="inlineStr">
        <is>
          <t>rare</t>
        </is>
      </c>
      <c r="E158" s="7">
        <f>Characters!$S33-"&amp;Characters!$Q33-"&amp;UPPER(LEFT("rare",1))</f>
        <v/>
      </c>
      <c r="F158" s="7">
        <f>IF(D158="legendary",1000,IF(D158="secret",100,""))</f>
        <v/>
      </c>
      <c r="G158" s="7" t="n">
        <v>0</v>
      </c>
      <c r="H158" s="7">
        <f>IF(D158="common",0,IF(D158="rare",1,IF(D158="epic",2,IF(D158="legendary",3,4))))</f>
        <v/>
      </c>
    </row>
    <row r="159">
      <c r="A159" s="7">
        <f>LOWER(Characters!$Q33)&amp;"-s1-epic"</f>
        <v/>
      </c>
      <c r="B159" s="7">
        <f>Characters!$Q33</f>
        <v/>
      </c>
      <c r="C159" s="7" t="inlineStr">
        <is>
          <t>S1</t>
        </is>
      </c>
      <c r="D159" s="7" t="inlineStr">
        <is>
          <t>epic</t>
        </is>
      </c>
      <c r="E159" s="7">
        <f>Characters!$S33-"&amp;Characters!$Q33-"&amp;UPPER(LEFT("epic",1))</f>
        <v/>
      </c>
      <c r="F159" s="7">
        <f>IF(D159="legendary",1000,IF(D159="secret",100,""))</f>
        <v/>
      </c>
      <c r="G159" s="7" t="n">
        <v>0</v>
      </c>
      <c r="H159" s="7">
        <f>IF(D159="common",0,IF(D159="rare",1,IF(D159="epic",2,IF(D159="legendary",3,4))))</f>
        <v/>
      </c>
    </row>
    <row r="160">
      <c r="A160" s="7">
        <f>LOWER(Characters!$Q33)&amp;"-s1-legendary"</f>
        <v/>
      </c>
      <c r="B160" s="7">
        <f>Characters!$Q33</f>
        <v/>
      </c>
      <c r="C160" s="7" t="inlineStr">
        <is>
          <t>S1</t>
        </is>
      </c>
      <c r="D160" s="7" t="inlineStr">
        <is>
          <t>legendary</t>
        </is>
      </c>
      <c r="E160" s="7">
        <f>Characters!$S33-"&amp;Characters!$Q33-"&amp;UPPER(LEFT("legendary",1))</f>
        <v/>
      </c>
      <c r="F160" s="7">
        <f>IF(D160="legendary",1000,IF(D160="secret",100,""))</f>
        <v/>
      </c>
      <c r="G160" s="7" t="n">
        <v>0</v>
      </c>
      <c r="H160" s="7">
        <f>IF(D160="common",0,IF(D160="rare",1,IF(D160="epic",2,IF(D160="legendary",3,4))))</f>
        <v/>
      </c>
    </row>
    <row r="161">
      <c r="A161" s="7">
        <f>LOWER(Characters!$Q33)&amp;"-s1-secret"</f>
        <v/>
      </c>
      <c r="B161" s="7">
        <f>Characters!$Q33</f>
        <v/>
      </c>
      <c r="C161" s="7" t="inlineStr">
        <is>
          <t>S1</t>
        </is>
      </c>
      <c r="D161" s="7" t="inlineStr">
        <is>
          <t>secret</t>
        </is>
      </c>
      <c r="E161" s="7">
        <f>Characters!$S33-"&amp;Characters!$Q33-"&amp;UPPER(LEFT("secret",1))</f>
        <v/>
      </c>
      <c r="F161" s="7">
        <f>IF(D161="legendary",1000,IF(D161="secret",100,""))</f>
        <v/>
      </c>
      <c r="G161" s="7" t="n">
        <v>0</v>
      </c>
      <c r="H161" s="7">
        <f>IF(D161="common",0,IF(D161="rare",1,IF(D161="epic",2,IF(D161="legendary",3,4))))</f>
        <v/>
      </c>
    </row>
    <row r="162">
      <c r="A162" s="7">
        <f>LOWER(Characters!$Q34)&amp;"-s1-common"</f>
        <v/>
      </c>
      <c r="B162" s="7">
        <f>Characters!$Q34</f>
        <v/>
      </c>
      <c r="C162" s="7" t="inlineStr">
        <is>
          <t>S1</t>
        </is>
      </c>
      <c r="D162" s="7" t="inlineStr">
        <is>
          <t>common</t>
        </is>
      </c>
      <c r="E162" s="7">
        <f>Characters!$S34-"&amp;Characters!$Q34-"&amp;UPPER(LEFT("common",1))</f>
        <v/>
      </c>
      <c r="F162" s="7">
        <f>IF(D162="legendary",1000,IF(D162="secret",100,""))</f>
        <v/>
      </c>
      <c r="G162" s="7" t="n">
        <v>0</v>
      </c>
      <c r="H162" s="7">
        <f>IF(D162="common",0,IF(D162="rare",1,IF(D162="epic",2,IF(D162="legendary",3,4))))</f>
        <v/>
      </c>
    </row>
    <row r="163">
      <c r="A163" s="7">
        <f>LOWER(Characters!$Q34)&amp;"-s1-rare"</f>
        <v/>
      </c>
      <c r="B163" s="7">
        <f>Characters!$Q34</f>
        <v/>
      </c>
      <c r="C163" s="7" t="inlineStr">
        <is>
          <t>S1</t>
        </is>
      </c>
      <c r="D163" s="7" t="inlineStr">
        <is>
          <t>rare</t>
        </is>
      </c>
      <c r="E163" s="7">
        <f>Characters!$S34-"&amp;Characters!$Q34-"&amp;UPPER(LEFT("rare",1))</f>
        <v/>
      </c>
      <c r="F163" s="7">
        <f>IF(D163="legendary",1000,IF(D163="secret",100,""))</f>
        <v/>
      </c>
      <c r="G163" s="7" t="n">
        <v>0</v>
      </c>
      <c r="H163" s="7">
        <f>IF(D163="common",0,IF(D163="rare",1,IF(D163="epic",2,IF(D163="legendary",3,4))))</f>
        <v/>
      </c>
    </row>
    <row r="164">
      <c r="A164" s="7">
        <f>LOWER(Characters!$Q34)&amp;"-s1-epic"</f>
        <v/>
      </c>
      <c r="B164" s="7">
        <f>Characters!$Q34</f>
        <v/>
      </c>
      <c r="C164" s="7" t="inlineStr">
        <is>
          <t>S1</t>
        </is>
      </c>
      <c r="D164" s="7" t="inlineStr">
        <is>
          <t>epic</t>
        </is>
      </c>
      <c r="E164" s="7">
        <f>Characters!$S34-"&amp;Characters!$Q34-"&amp;UPPER(LEFT("epic",1))</f>
        <v/>
      </c>
      <c r="F164" s="7">
        <f>IF(D164="legendary",1000,IF(D164="secret",100,""))</f>
        <v/>
      </c>
      <c r="G164" s="7" t="n">
        <v>0</v>
      </c>
      <c r="H164" s="7">
        <f>IF(D164="common",0,IF(D164="rare",1,IF(D164="epic",2,IF(D164="legendary",3,4))))</f>
        <v/>
      </c>
    </row>
    <row r="165">
      <c r="A165" s="7">
        <f>LOWER(Characters!$Q34)&amp;"-s1-legendary"</f>
        <v/>
      </c>
      <c r="B165" s="7">
        <f>Characters!$Q34</f>
        <v/>
      </c>
      <c r="C165" s="7" t="inlineStr">
        <is>
          <t>S1</t>
        </is>
      </c>
      <c r="D165" s="7" t="inlineStr">
        <is>
          <t>legendary</t>
        </is>
      </c>
      <c r="E165" s="7">
        <f>Characters!$S34-"&amp;Characters!$Q34-"&amp;UPPER(LEFT("legendary",1))</f>
        <v/>
      </c>
      <c r="F165" s="7">
        <f>IF(D165="legendary",1000,IF(D165="secret",100,""))</f>
        <v/>
      </c>
      <c r="G165" s="7" t="n">
        <v>0</v>
      </c>
      <c r="H165" s="7">
        <f>IF(D165="common",0,IF(D165="rare",1,IF(D165="epic",2,IF(D165="legendary",3,4))))</f>
        <v/>
      </c>
    </row>
    <row r="166">
      <c r="A166" s="7">
        <f>LOWER(Characters!$Q34)&amp;"-s1-secret"</f>
        <v/>
      </c>
      <c r="B166" s="7">
        <f>Characters!$Q34</f>
        <v/>
      </c>
      <c r="C166" s="7" t="inlineStr">
        <is>
          <t>S1</t>
        </is>
      </c>
      <c r="D166" s="7" t="inlineStr">
        <is>
          <t>secret</t>
        </is>
      </c>
      <c r="E166" s="7">
        <f>Characters!$S34-"&amp;Characters!$Q34-"&amp;UPPER(LEFT("secret",1))</f>
        <v/>
      </c>
      <c r="F166" s="7">
        <f>IF(D166="legendary",1000,IF(D166="secret",100,""))</f>
        <v/>
      </c>
      <c r="G166" s="7" t="n">
        <v>0</v>
      </c>
      <c r="H166" s="7">
        <f>IF(D166="common",0,IF(D166="rare",1,IF(D166="epic",2,IF(D166="legendary",3,4))))</f>
        <v/>
      </c>
    </row>
    <row r="167">
      <c r="A167" s="7">
        <f>LOWER(Characters!$Q35)&amp;"-s1-common"</f>
        <v/>
      </c>
      <c r="B167" s="7">
        <f>Characters!$Q35</f>
        <v/>
      </c>
      <c r="C167" s="7" t="inlineStr">
        <is>
          <t>S1</t>
        </is>
      </c>
      <c r="D167" s="7" t="inlineStr">
        <is>
          <t>common</t>
        </is>
      </c>
      <c r="E167" s="7">
        <f>Characters!$S35-"&amp;Characters!$Q35-"&amp;UPPER(LEFT("common",1))</f>
        <v/>
      </c>
      <c r="F167" s="7">
        <f>IF(D167="legendary",1000,IF(D167="secret",100,""))</f>
        <v/>
      </c>
      <c r="G167" s="7" t="n">
        <v>0</v>
      </c>
      <c r="H167" s="7">
        <f>IF(D167="common",0,IF(D167="rare",1,IF(D167="epic",2,IF(D167="legendary",3,4))))</f>
        <v/>
      </c>
    </row>
    <row r="168">
      <c r="A168" s="7">
        <f>LOWER(Characters!$Q35)&amp;"-s1-rare"</f>
        <v/>
      </c>
      <c r="B168" s="7">
        <f>Characters!$Q35</f>
        <v/>
      </c>
      <c r="C168" s="7" t="inlineStr">
        <is>
          <t>S1</t>
        </is>
      </c>
      <c r="D168" s="7" t="inlineStr">
        <is>
          <t>rare</t>
        </is>
      </c>
      <c r="E168" s="7">
        <f>Characters!$S35-"&amp;Characters!$Q35-"&amp;UPPER(LEFT("rare",1))</f>
        <v/>
      </c>
      <c r="F168" s="7">
        <f>IF(D168="legendary",1000,IF(D168="secret",100,""))</f>
        <v/>
      </c>
      <c r="G168" s="7" t="n">
        <v>0</v>
      </c>
      <c r="H168" s="7">
        <f>IF(D168="common",0,IF(D168="rare",1,IF(D168="epic",2,IF(D168="legendary",3,4))))</f>
        <v/>
      </c>
    </row>
    <row r="169">
      <c r="A169" s="7">
        <f>LOWER(Characters!$Q35)&amp;"-s1-epic"</f>
        <v/>
      </c>
      <c r="B169" s="7">
        <f>Characters!$Q35</f>
        <v/>
      </c>
      <c r="C169" s="7" t="inlineStr">
        <is>
          <t>S1</t>
        </is>
      </c>
      <c r="D169" s="7" t="inlineStr">
        <is>
          <t>epic</t>
        </is>
      </c>
      <c r="E169" s="7">
        <f>Characters!$S35-"&amp;Characters!$Q35-"&amp;UPPER(LEFT("epic",1))</f>
        <v/>
      </c>
      <c r="F169" s="7">
        <f>IF(D169="legendary",1000,IF(D169="secret",100,""))</f>
        <v/>
      </c>
      <c r="G169" s="7" t="n">
        <v>0</v>
      </c>
      <c r="H169" s="7">
        <f>IF(D169="common",0,IF(D169="rare",1,IF(D169="epic",2,IF(D169="legendary",3,4))))</f>
        <v/>
      </c>
    </row>
    <row r="170">
      <c r="A170" s="7">
        <f>LOWER(Characters!$Q35)&amp;"-s1-legendary"</f>
        <v/>
      </c>
      <c r="B170" s="7">
        <f>Characters!$Q35</f>
        <v/>
      </c>
      <c r="C170" s="7" t="inlineStr">
        <is>
          <t>S1</t>
        </is>
      </c>
      <c r="D170" s="7" t="inlineStr">
        <is>
          <t>legendary</t>
        </is>
      </c>
      <c r="E170" s="7">
        <f>Characters!$S35-"&amp;Characters!$Q35-"&amp;UPPER(LEFT("legendary",1))</f>
        <v/>
      </c>
      <c r="F170" s="7">
        <f>IF(D170="legendary",1000,IF(D170="secret",100,""))</f>
        <v/>
      </c>
      <c r="G170" s="7" t="n">
        <v>0</v>
      </c>
      <c r="H170" s="7">
        <f>IF(D170="common",0,IF(D170="rare",1,IF(D170="epic",2,IF(D170="legendary",3,4))))</f>
        <v/>
      </c>
    </row>
    <row r="171">
      <c r="A171" s="7">
        <f>LOWER(Characters!$Q35)&amp;"-s1-secret"</f>
        <v/>
      </c>
      <c r="B171" s="7">
        <f>Characters!$Q35</f>
        <v/>
      </c>
      <c r="C171" s="7" t="inlineStr">
        <is>
          <t>S1</t>
        </is>
      </c>
      <c r="D171" s="7" t="inlineStr">
        <is>
          <t>secret</t>
        </is>
      </c>
      <c r="E171" s="7">
        <f>Characters!$S35-"&amp;Characters!$Q35-"&amp;UPPER(LEFT("secret",1))</f>
        <v/>
      </c>
      <c r="F171" s="7">
        <f>IF(D171="legendary",1000,IF(D171="secret",100,""))</f>
        <v/>
      </c>
      <c r="G171" s="7" t="n">
        <v>0</v>
      </c>
      <c r="H171" s="7">
        <f>IF(D171="common",0,IF(D171="rare",1,IF(D171="epic",2,IF(D171="legendary",3,4))))</f>
        <v/>
      </c>
    </row>
    <row r="172">
      <c r="A172" s="7">
        <f>LOWER(Characters!$Q36)&amp;"-s1-common"</f>
        <v/>
      </c>
      <c r="B172" s="7">
        <f>Characters!$Q36</f>
        <v/>
      </c>
      <c r="C172" s="7" t="inlineStr">
        <is>
          <t>S1</t>
        </is>
      </c>
      <c r="D172" s="7" t="inlineStr">
        <is>
          <t>common</t>
        </is>
      </c>
      <c r="E172" s="7">
        <f>Characters!$S36-"&amp;Characters!$Q36-"&amp;UPPER(LEFT("common",1))</f>
        <v/>
      </c>
      <c r="F172" s="7">
        <f>IF(D172="legendary",1000,IF(D172="secret",100,""))</f>
        <v/>
      </c>
      <c r="G172" s="7" t="n">
        <v>0</v>
      </c>
      <c r="H172" s="7">
        <f>IF(D172="common",0,IF(D172="rare",1,IF(D172="epic",2,IF(D172="legendary",3,4))))</f>
        <v/>
      </c>
    </row>
    <row r="173">
      <c r="A173" s="7">
        <f>LOWER(Characters!$Q36)&amp;"-s1-rare"</f>
        <v/>
      </c>
      <c r="B173" s="7">
        <f>Characters!$Q36</f>
        <v/>
      </c>
      <c r="C173" s="7" t="inlineStr">
        <is>
          <t>S1</t>
        </is>
      </c>
      <c r="D173" s="7" t="inlineStr">
        <is>
          <t>rare</t>
        </is>
      </c>
      <c r="E173" s="7">
        <f>Characters!$S36-"&amp;Characters!$Q36-"&amp;UPPER(LEFT("rare",1))</f>
        <v/>
      </c>
      <c r="F173" s="7">
        <f>IF(D173="legendary",1000,IF(D173="secret",100,""))</f>
        <v/>
      </c>
      <c r="G173" s="7" t="n">
        <v>0</v>
      </c>
      <c r="H173" s="7">
        <f>IF(D173="common",0,IF(D173="rare",1,IF(D173="epic",2,IF(D173="legendary",3,4))))</f>
        <v/>
      </c>
    </row>
    <row r="174">
      <c r="A174" s="7">
        <f>LOWER(Characters!$Q36)&amp;"-s1-epic"</f>
        <v/>
      </c>
      <c r="B174" s="7">
        <f>Characters!$Q36</f>
        <v/>
      </c>
      <c r="C174" s="7" t="inlineStr">
        <is>
          <t>S1</t>
        </is>
      </c>
      <c r="D174" s="7" t="inlineStr">
        <is>
          <t>epic</t>
        </is>
      </c>
      <c r="E174" s="7">
        <f>Characters!$S36-"&amp;Characters!$Q36-"&amp;UPPER(LEFT("epic",1))</f>
        <v/>
      </c>
      <c r="F174" s="7">
        <f>IF(D174="legendary",1000,IF(D174="secret",100,""))</f>
        <v/>
      </c>
      <c r="G174" s="7" t="n">
        <v>0</v>
      </c>
      <c r="H174" s="7">
        <f>IF(D174="common",0,IF(D174="rare",1,IF(D174="epic",2,IF(D174="legendary",3,4))))</f>
        <v/>
      </c>
    </row>
    <row r="175">
      <c r="A175" s="7">
        <f>LOWER(Characters!$Q36)&amp;"-s1-legendary"</f>
        <v/>
      </c>
      <c r="B175" s="7">
        <f>Characters!$Q36</f>
        <v/>
      </c>
      <c r="C175" s="7" t="inlineStr">
        <is>
          <t>S1</t>
        </is>
      </c>
      <c r="D175" s="7" t="inlineStr">
        <is>
          <t>legendary</t>
        </is>
      </c>
      <c r="E175" s="7">
        <f>Characters!$S36-"&amp;Characters!$Q36-"&amp;UPPER(LEFT("legendary",1))</f>
        <v/>
      </c>
      <c r="F175" s="7">
        <f>IF(D175="legendary",1000,IF(D175="secret",100,""))</f>
        <v/>
      </c>
      <c r="G175" s="7" t="n">
        <v>0</v>
      </c>
      <c r="H175" s="7">
        <f>IF(D175="common",0,IF(D175="rare",1,IF(D175="epic",2,IF(D175="legendary",3,4))))</f>
        <v/>
      </c>
    </row>
    <row r="176">
      <c r="A176" s="7">
        <f>LOWER(Characters!$Q36)&amp;"-s1-secret"</f>
        <v/>
      </c>
      <c r="B176" s="7">
        <f>Characters!$Q36</f>
        <v/>
      </c>
      <c r="C176" s="7" t="inlineStr">
        <is>
          <t>S1</t>
        </is>
      </c>
      <c r="D176" s="7" t="inlineStr">
        <is>
          <t>secret</t>
        </is>
      </c>
      <c r="E176" s="7">
        <f>Characters!$S36-"&amp;Characters!$Q36-"&amp;UPPER(LEFT("secret",1))</f>
        <v/>
      </c>
      <c r="F176" s="7">
        <f>IF(D176="legendary",1000,IF(D176="secret",100,""))</f>
        <v/>
      </c>
      <c r="G176" s="7" t="n">
        <v>0</v>
      </c>
      <c r="H176" s="7">
        <f>IF(D176="common",0,IF(D176="rare",1,IF(D176="epic",2,IF(D176="legendary",3,4))))</f>
        <v/>
      </c>
    </row>
    <row r="177">
      <c r="A177" s="7">
        <f>LOWER(Characters!$Q37)&amp;"-s1-common"</f>
        <v/>
      </c>
      <c r="B177" s="7">
        <f>Characters!$Q37</f>
        <v/>
      </c>
      <c r="C177" s="7" t="inlineStr">
        <is>
          <t>S1</t>
        </is>
      </c>
      <c r="D177" s="7" t="inlineStr">
        <is>
          <t>common</t>
        </is>
      </c>
      <c r="E177" s="7">
        <f>Characters!$S37-"&amp;Characters!$Q37-"&amp;UPPER(LEFT("common",1))</f>
        <v/>
      </c>
      <c r="F177" s="7">
        <f>IF(D177="legendary",1000,IF(D177="secret",100,""))</f>
        <v/>
      </c>
      <c r="G177" s="7" t="n">
        <v>0</v>
      </c>
      <c r="H177" s="7">
        <f>IF(D177="common",0,IF(D177="rare",1,IF(D177="epic",2,IF(D177="legendary",3,4))))</f>
        <v/>
      </c>
    </row>
    <row r="178">
      <c r="A178" s="7">
        <f>LOWER(Characters!$Q37)&amp;"-s1-rare"</f>
        <v/>
      </c>
      <c r="B178" s="7">
        <f>Characters!$Q37</f>
        <v/>
      </c>
      <c r="C178" s="7" t="inlineStr">
        <is>
          <t>S1</t>
        </is>
      </c>
      <c r="D178" s="7" t="inlineStr">
        <is>
          <t>rare</t>
        </is>
      </c>
      <c r="E178" s="7">
        <f>Characters!$S37-"&amp;Characters!$Q37-"&amp;UPPER(LEFT("rare",1))</f>
        <v/>
      </c>
      <c r="F178" s="7">
        <f>IF(D178="legendary",1000,IF(D178="secret",100,""))</f>
        <v/>
      </c>
      <c r="G178" s="7" t="n">
        <v>0</v>
      </c>
      <c r="H178" s="7">
        <f>IF(D178="common",0,IF(D178="rare",1,IF(D178="epic",2,IF(D178="legendary",3,4))))</f>
        <v/>
      </c>
    </row>
    <row r="179">
      <c r="A179" s="7">
        <f>LOWER(Characters!$Q37)&amp;"-s1-epic"</f>
        <v/>
      </c>
      <c r="B179" s="7">
        <f>Characters!$Q37</f>
        <v/>
      </c>
      <c r="C179" s="7" t="inlineStr">
        <is>
          <t>S1</t>
        </is>
      </c>
      <c r="D179" s="7" t="inlineStr">
        <is>
          <t>epic</t>
        </is>
      </c>
      <c r="E179" s="7">
        <f>Characters!$S37-"&amp;Characters!$Q37-"&amp;UPPER(LEFT("epic",1))</f>
        <v/>
      </c>
      <c r="F179" s="7">
        <f>IF(D179="legendary",1000,IF(D179="secret",100,""))</f>
        <v/>
      </c>
      <c r="G179" s="7" t="n">
        <v>0</v>
      </c>
      <c r="H179" s="7">
        <f>IF(D179="common",0,IF(D179="rare",1,IF(D179="epic",2,IF(D179="legendary",3,4))))</f>
        <v/>
      </c>
    </row>
    <row r="180">
      <c r="A180" s="7">
        <f>LOWER(Characters!$Q37)&amp;"-s1-legendary"</f>
        <v/>
      </c>
      <c r="B180" s="7">
        <f>Characters!$Q37</f>
        <v/>
      </c>
      <c r="C180" s="7" t="inlineStr">
        <is>
          <t>S1</t>
        </is>
      </c>
      <c r="D180" s="7" t="inlineStr">
        <is>
          <t>legendary</t>
        </is>
      </c>
      <c r="E180" s="7">
        <f>Characters!$S37-"&amp;Characters!$Q37-"&amp;UPPER(LEFT("legendary",1))</f>
        <v/>
      </c>
      <c r="F180" s="7">
        <f>IF(D180="legendary",1000,IF(D180="secret",100,""))</f>
        <v/>
      </c>
      <c r="G180" s="7" t="n">
        <v>0</v>
      </c>
      <c r="H180" s="7">
        <f>IF(D180="common",0,IF(D180="rare",1,IF(D180="epic",2,IF(D180="legendary",3,4))))</f>
        <v/>
      </c>
    </row>
    <row r="181">
      <c r="A181" s="7">
        <f>LOWER(Characters!$Q37)&amp;"-s1-secret"</f>
        <v/>
      </c>
      <c r="B181" s="7">
        <f>Characters!$Q37</f>
        <v/>
      </c>
      <c r="C181" s="7" t="inlineStr">
        <is>
          <t>S1</t>
        </is>
      </c>
      <c r="D181" s="7" t="inlineStr">
        <is>
          <t>secret</t>
        </is>
      </c>
      <c r="E181" s="7">
        <f>Characters!$S37-"&amp;Characters!$Q37-"&amp;UPPER(LEFT("secret",1))</f>
        <v/>
      </c>
      <c r="F181" s="7">
        <f>IF(D181="legendary",1000,IF(D181="secret",100,""))</f>
        <v/>
      </c>
      <c r="G181" s="7" t="n">
        <v>0</v>
      </c>
      <c r="H181" s="7">
        <f>IF(D181="common",0,IF(D181="rare",1,IF(D181="epic",2,IF(D181="legendary",3,4))))</f>
        <v/>
      </c>
    </row>
    <row r="182">
      <c r="A182" s="7">
        <f>LOWER(Characters!$Q38)&amp;"-s1-common"</f>
        <v/>
      </c>
      <c r="B182" s="7">
        <f>Characters!$Q38</f>
        <v/>
      </c>
      <c r="C182" s="7" t="inlineStr">
        <is>
          <t>S1</t>
        </is>
      </c>
      <c r="D182" s="7" t="inlineStr">
        <is>
          <t>common</t>
        </is>
      </c>
      <c r="E182" s="7">
        <f>Characters!$S38-"&amp;Characters!$Q38-"&amp;UPPER(LEFT("common",1))</f>
        <v/>
      </c>
      <c r="F182" s="7">
        <f>IF(D182="legendary",1000,IF(D182="secret",100,""))</f>
        <v/>
      </c>
      <c r="G182" s="7" t="n">
        <v>0</v>
      </c>
      <c r="H182" s="7">
        <f>IF(D182="common",0,IF(D182="rare",1,IF(D182="epic",2,IF(D182="legendary",3,4))))</f>
        <v/>
      </c>
    </row>
    <row r="183">
      <c r="A183" s="7">
        <f>LOWER(Characters!$Q38)&amp;"-s1-rare"</f>
        <v/>
      </c>
      <c r="B183" s="7">
        <f>Characters!$Q38</f>
        <v/>
      </c>
      <c r="C183" s="7" t="inlineStr">
        <is>
          <t>S1</t>
        </is>
      </c>
      <c r="D183" s="7" t="inlineStr">
        <is>
          <t>rare</t>
        </is>
      </c>
      <c r="E183" s="7">
        <f>Characters!$S38-"&amp;Characters!$Q38-"&amp;UPPER(LEFT("rare",1))</f>
        <v/>
      </c>
      <c r="F183" s="7">
        <f>IF(D183="legendary",1000,IF(D183="secret",100,""))</f>
        <v/>
      </c>
      <c r="G183" s="7" t="n">
        <v>0</v>
      </c>
      <c r="H183" s="7">
        <f>IF(D183="common",0,IF(D183="rare",1,IF(D183="epic",2,IF(D183="legendary",3,4))))</f>
        <v/>
      </c>
    </row>
    <row r="184">
      <c r="A184" s="7">
        <f>LOWER(Characters!$Q38)&amp;"-s1-epic"</f>
        <v/>
      </c>
      <c r="B184" s="7">
        <f>Characters!$Q38</f>
        <v/>
      </c>
      <c r="C184" s="7" t="inlineStr">
        <is>
          <t>S1</t>
        </is>
      </c>
      <c r="D184" s="7" t="inlineStr">
        <is>
          <t>epic</t>
        </is>
      </c>
      <c r="E184" s="7">
        <f>Characters!$S38-"&amp;Characters!$Q38-"&amp;UPPER(LEFT("epic",1))</f>
        <v/>
      </c>
      <c r="F184" s="7">
        <f>IF(D184="legendary",1000,IF(D184="secret",100,""))</f>
        <v/>
      </c>
      <c r="G184" s="7" t="n">
        <v>0</v>
      </c>
      <c r="H184" s="7">
        <f>IF(D184="common",0,IF(D184="rare",1,IF(D184="epic",2,IF(D184="legendary",3,4))))</f>
        <v/>
      </c>
    </row>
    <row r="185">
      <c r="A185" s="7">
        <f>LOWER(Characters!$Q38)&amp;"-s1-legendary"</f>
        <v/>
      </c>
      <c r="B185" s="7">
        <f>Characters!$Q38</f>
        <v/>
      </c>
      <c r="C185" s="7" t="inlineStr">
        <is>
          <t>S1</t>
        </is>
      </c>
      <c r="D185" s="7" t="inlineStr">
        <is>
          <t>legendary</t>
        </is>
      </c>
      <c r="E185" s="7">
        <f>Characters!$S38-"&amp;Characters!$Q38-"&amp;UPPER(LEFT("legendary",1))</f>
        <v/>
      </c>
      <c r="F185" s="7">
        <f>IF(D185="legendary",1000,IF(D185="secret",100,""))</f>
        <v/>
      </c>
      <c r="G185" s="7" t="n">
        <v>0</v>
      </c>
      <c r="H185" s="7">
        <f>IF(D185="common",0,IF(D185="rare",1,IF(D185="epic",2,IF(D185="legendary",3,4))))</f>
        <v/>
      </c>
    </row>
    <row r="186">
      <c r="A186" s="7">
        <f>LOWER(Characters!$Q38)&amp;"-s1-secret"</f>
        <v/>
      </c>
      <c r="B186" s="7">
        <f>Characters!$Q38</f>
        <v/>
      </c>
      <c r="C186" s="7" t="inlineStr">
        <is>
          <t>S1</t>
        </is>
      </c>
      <c r="D186" s="7" t="inlineStr">
        <is>
          <t>secret</t>
        </is>
      </c>
      <c r="E186" s="7">
        <f>Characters!$S38-"&amp;Characters!$Q38-"&amp;UPPER(LEFT("secret",1))</f>
        <v/>
      </c>
      <c r="F186" s="7">
        <f>IF(D186="legendary",1000,IF(D186="secret",100,""))</f>
        <v/>
      </c>
      <c r="G186" s="7" t="n">
        <v>0</v>
      </c>
      <c r="H186" s="7">
        <f>IF(D186="common",0,IF(D186="rare",1,IF(D186="epic",2,IF(D186="legendary",3,4))))</f>
        <v/>
      </c>
    </row>
    <row r="187">
      <c r="A187" s="7">
        <f>LOWER(Characters!$Q39)&amp;"-s1-common"</f>
        <v/>
      </c>
      <c r="B187" s="7">
        <f>Characters!$Q39</f>
        <v/>
      </c>
      <c r="C187" s="7" t="inlineStr">
        <is>
          <t>S1</t>
        </is>
      </c>
      <c r="D187" s="7" t="inlineStr">
        <is>
          <t>common</t>
        </is>
      </c>
      <c r="E187" s="7">
        <f>Characters!$S39-"&amp;Characters!$Q39-"&amp;UPPER(LEFT("common",1))</f>
        <v/>
      </c>
      <c r="F187" s="7">
        <f>IF(D187="legendary",1000,IF(D187="secret",100,""))</f>
        <v/>
      </c>
      <c r="G187" s="7" t="n">
        <v>0</v>
      </c>
      <c r="H187" s="7">
        <f>IF(D187="common",0,IF(D187="rare",1,IF(D187="epic",2,IF(D187="legendary",3,4))))</f>
        <v/>
      </c>
    </row>
    <row r="188">
      <c r="A188" s="7">
        <f>LOWER(Characters!$Q39)&amp;"-s1-rare"</f>
        <v/>
      </c>
      <c r="B188" s="7">
        <f>Characters!$Q39</f>
        <v/>
      </c>
      <c r="C188" s="7" t="inlineStr">
        <is>
          <t>S1</t>
        </is>
      </c>
      <c r="D188" s="7" t="inlineStr">
        <is>
          <t>rare</t>
        </is>
      </c>
      <c r="E188" s="7">
        <f>Characters!$S39-"&amp;Characters!$Q39-"&amp;UPPER(LEFT("rare",1))</f>
        <v/>
      </c>
      <c r="F188" s="7">
        <f>IF(D188="legendary",1000,IF(D188="secret",100,""))</f>
        <v/>
      </c>
      <c r="G188" s="7" t="n">
        <v>0</v>
      </c>
      <c r="H188" s="7">
        <f>IF(D188="common",0,IF(D188="rare",1,IF(D188="epic",2,IF(D188="legendary",3,4))))</f>
        <v/>
      </c>
    </row>
    <row r="189">
      <c r="A189" s="7">
        <f>LOWER(Characters!$Q39)&amp;"-s1-epic"</f>
        <v/>
      </c>
      <c r="B189" s="7">
        <f>Characters!$Q39</f>
        <v/>
      </c>
      <c r="C189" s="7" t="inlineStr">
        <is>
          <t>S1</t>
        </is>
      </c>
      <c r="D189" s="7" t="inlineStr">
        <is>
          <t>epic</t>
        </is>
      </c>
      <c r="E189" s="7">
        <f>Characters!$S39-"&amp;Characters!$Q39-"&amp;UPPER(LEFT("epic",1))</f>
        <v/>
      </c>
      <c r="F189" s="7">
        <f>IF(D189="legendary",1000,IF(D189="secret",100,""))</f>
        <v/>
      </c>
      <c r="G189" s="7" t="n">
        <v>0</v>
      </c>
      <c r="H189" s="7">
        <f>IF(D189="common",0,IF(D189="rare",1,IF(D189="epic",2,IF(D189="legendary",3,4))))</f>
        <v/>
      </c>
    </row>
    <row r="190">
      <c r="A190" s="7">
        <f>LOWER(Characters!$Q39)&amp;"-s1-legendary"</f>
        <v/>
      </c>
      <c r="B190" s="7">
        <f>Characters!$Q39</f>
        <v/>
      </c>
      <c r="C190" s="7" t="inlineStr">
        <is>
          <t>S1</t>
        </is>
      </c>
      <c r="D190" s="7" t="inlineStr">
        <is>
          <t>legendary</t>
        </is>
      </c>
      <c r="E190" s="7">
        <f>Characters!$S39-"&amp;Characters!$Q39-"&amp;UPPER(LEFT("legendary",1))</f>
        <v/>
      </c>
      <c r="F190" s="7">
        <f>IF(D190="legendary",1000,IF(D190="secret",100,""))</f>
        <v/>
      </c>
      <c r="G190" s="7" t="n">
        <v>0</v>
      </c>
      <c r="H190" s="7">
        <f>IF(D190="common",0,IF(D190="rare",1,IF(D190="epic",2,IF(D190="legendary",3,4))))</f>
        <v/>
      </c>
    </row>
    <row r="191">
      <c r="A191" s="7">
        <f>LOWER(Characters!$Q39)&amp;"-s1-secret"</f>
        <v/>
      </c>
      <c r="B191" s="7">
        <f>Characters!$Q39</f>
        <v/>
      </c>
      <c r="C191" s="7" t="inlineStr">
        <is>
          <t>S1</t>
        </is>
      </c>
      <c r="D191" s="7" t="inlineStr">
        <is>
          <t>secret</t>
        </is>
      </c>
      <c r="E191" s="7">
        <f>Characters!$S39-"&amp;Characters!$Q39-"&amp;UPPER(LEFT("secret",1))</f>
        <v/>
      </c>
      <c r="F191" s="7">
        <f>IF(D191="legendary",1000,IF(D191="secret",100,""))</f>
        <v/>
      </c>
      <c r="G191" s="7" t="n">
        <v>0</v>
      </c>
      <c r="H191" s="7">
        <f>IF(D191="common",0,IF(D191="rare",1,IF(D191="epic",2,IF(D191="legendary",3,4))))</f>
        <v/>
      </c>
    </row>
    <row r="192">
      <c r="A192" s="7">
        <f>LOWER(Characters!$Q40)&amp;"-s1-common"</f>
        <v/>
      </c>
      <c r="B192" s="7">
        <f>Characters!$Q40</f>
        <v/>
      </c>
      <c r="C192" s="7" t="inlineStr">
        <is>
          <t>S1</t>
        </is>
      </c>
      <c r="D192" s="7" t="inlineStr">
        <is>
          <t>common</t>
        </is>
      </c>
      <c r="E192" s="7">
        <f>Characters!$S40-"&amp;Characters!$Q40-"&amp;UPPER(LEFT("common",1))</f>
        <v/>
      </c>
      <c r="F192" s="7">
        <f>IF(D192="legendary",1000,IF(D192="secret",100,""))</f>
        <v/>
      </c>
      <c r="G192" s="7" t="n">
        <v>0</v>
      </c>
      <c r="H192" s="7">
        <f>IF(D192="common",0,IF(D192="rare",1,IF(D192="epic",2,IF(D192="legendary",3,4))))</f>
        <v/>
      </c>
    </row>
    <row r="193">
      <c r="A193" s="7">
        <f>LOWER(Characters!$Q40)&amp;"-s1-rare"</f>
        <v/>
      </c>
      <c r="B193" s="7">
        <f>Characters!$Q40</f>
        <v/>
      </c>
      <c r="C193" s="7" t="inlineStr">
        <is>
          <t>S1</t>
        </is>
      </c>
      <c r="D193" s="7" t="inlineStr">
        <is>
          <t>rare</t>
        </is>
      </c>
      <c r="E193" s="7">
        <f>Characters!$S40-"&amp;Characters!$Q40-"&amp;UPPER(LEFT("rare",1))</f>
        <v/>
      </c>
      <c r="F193" s="7">
        <f>IF(D193="legendary",1000,IF(D193="secret",100,""))</f>
        <v/>
      </c>
      <c r="G193" s="7" t="n">
        <v>0</v>
      </c>
      <c r="H193" s="7">
        <f>IF(D193="common",0,IF(D193="rare",1,IF(D193="epic",2,IF(D193="legendary",3,4))))</f>
        <v/>
      </c>
    </row>
    <row r="194">
      <c r="A194" s="7">
        <f>LOWER(Characters!$Q40)&amp;"-s1-epic"</f>
        <v/>
      </c>
      <c r="B194" s="7">
        <f>Characters!$Q40</f>
        <v/>
      </c>
      <c r="C194" s="7" t="inlineStr">
        <is>
          <t>S1</t>
        </is>
      </c>
      <c r="D194" s="7" t="inlineStr">
        <is>
          <t>epic</t>
        </is>
      </c>
      <c r="E194" s="7">
        <f>Characters!$S40-"&amp;Characters!$Q40-"&amp;UPPER(LEFT("epic",1))</f>
        <v/>
      </c>
      <c r="F194" s="7">
        <f>IF(D194="legendary",1000,IF(D194="secret",100,""))</f>
        <v/>
      </c>
      <c r="G194" s="7" t="n">
        <v>0</v>
      </c>
      <c r="H194" s="7">
        <f>IF(D194="common",0,IF(D194="rare",1,IF(D194="epic",2,IF(D194="legendary",3,4))))</f>
        <v/>
      </c>
    </row>
    <row r="195">
      <c r="A195" s="7">
        <f>LOWER(Characters!$Q40)&amp;"-s1-legendary"</f>
        <v/>
      </c>
      <c r="B195" s="7">
        <f>Characters!$Q40</f>
        <v/>
      </c>
      <c r="C195" s="7" t="inlineStr">
        <is>
          <t>S1</t>
        </is>
      </c>
      <c r="D195" s="7" t="inlineStr">
        <is>
          <t>legendary</t>
        </is>
      </c>
      <c r="E195" s="7">
        <f>Characters!$S40-"&amp;Characters!$Q40-"&amp;UPPER(LEFT("legendary",1))</f>
        <v/>
      </c>
      <c r="F195" s="7">
        <f>IF(D195="legendary",1000,IF(D195="secret",100,""))</f>
        <v/>
      </c>
      <c r="G195" s="7" t="n">
        <v>0</v>
      </c>
      <c r="H195" s="7">
        <f>IF(D195="common",0,IF(D195="rare",1,IF(D195="epic",2,IF(D195="legendary",3,4))))</f>
        <v/>
      </c>
    </row>
    <row r="196">
      <c r="A196" s="7">
        <f>LOWER(Characters!$Q40)&amp;"-s1-secret"</f>
        <v/>
      </c>
      <c r="B196" s="7">
        <f>Characters!$Q40</f>
        <v/>
      </c>
      <c r="C196" s="7" t="inlineStr">
        <is>
          <t>S1</t>
        </is>
      </c>
      <c r="D196" s="7" t="inlineStr">
        <is>
          <t>secret</t>
        </is>
      </c>
      <c r="E196" s="7">
        <f>Characters!$S40-"&amp;Characters!$Q40-"&amp;UPPER(LEFT("secret",1))</f>
        <v/>
      </c>
      <c r="F196" s="7">
        <f>IF(D196="legendary",1000,IF(D196="secret",100,""))</f>
        <v/>
      </c>
      <c r="G196" s="7" t="n">
        <v>0</v>
      </c>
      <c r="H196" s="7">
        <f>IF(D196="common",0,IF(D196="rare",1,IF(D196="epic",2,IF(D196="legendary",3,4))))</f>
        <v/>
      </c>
    </row>
    <row r="197">
      <c r="A197" s="7">
        <f>LOWER(Characters!$Q41)&amp;"-s1-common"</f>
        <v/>
      </c>
      <c r="B197" s="7">
        <f>Characters!$Q41</f>
        <v/>
      </c>
      <c r="C197" s="7" t="inlineStr">
        <is>
          <t>S1</t>
        </is>
      </c>
      <c r="D197" s="7" t="inlineStr">
        <is>
          <t>common</t>
        </is>
      </c>
      <c r="E197" s="7">
        <f>Characters!$S41-"&amp;Characters!$Q41-"&amp;UPPER(LEFT("common",1))</f>
        <v/>
      </c>
      <c r="F197" s="7">
        <f>IF(D197="legendary",1000,IF(D197="secret",100,""))</f>
        <v/>
      </c>
      <c r="G197" s="7" t="n">
        <v>0</v>
      </c>
      <c r="H197" s="7">
        <f>IF(D197="common",0,IF(D197="rare",1,IF(D197="epic",2,IF(D197="legendary",3,4))))</f>
        <v/>
      </c>
    </row>
    <row r="198">
      <c r="A198" s="7">
        <f>LOWER(Characters!$Q41)&amp;"-s1-rare"</f>
        <v/>
      </c>
      <c r="B198" s="7">
        <f>Characters!$Q41</f>
        <v/>
      </c>
      <c r="C198" s="7" t="inlineStr">
        <is>
          <t>S1</t>
        </is>
      </c>
      <c r="D198" s="7" t="inlineStr">
        <is>
          <t>rare</t>
        </is>
      </c>
      <c r="E198" s="7">
        <f>Characters!$S41-"&amp;Characters!$Q41-"&amp;UPPER(LEFT("rare",1))</f>
        <v/>
      </c>
      <c r="F198" s="7">
        <f>IF(D198="legendary",1000,IF(D198="secret",100,""))</f>
        <v/>
      </c>
      <c r="G198" s="7" t="n">
        <v>0</v>
      </c>
      <c r="H198" s="7">
        <f>IF(D198="common",0,IF(D198="rare",1,IF(D198="epic",2,IF(D198="legendary",3,4))))</f>
        <v/>
      </c>
    </row>
    <row r="199">
      <c r="A199" s="7">
        <f>LOWER(Characters!$Q41)&amp;"-s1-epic"</f>
        <v/>
      </c>
      <c r="B199" s="7">
        <f>Characters!$Q41</f>
        <v/>
      </c>
      <c r="C199" s="7" t="inlineStr">
        <is>
          <t>S1</t>
        </is>
      </c>
      <c r="D199" s="7" t="inlineStr">
        <is>
          <t>epic</t>
        </is>
      </c>
      <c r="E199" s="7">
        <f>Characters!$S41-"&amp;Characters!$Q41-"&amp;UPPER(LEFT("epic",1))</f>
        <v/>
      </c>
      <c r="F199" s="7">
        <f>IF(D199="legendary",1000,IF(D199="secret",100,""))</f>
        <v/>
      </c>
      <c r="G199" s="7" t="n">
        <v>0</v>
      </c>
      <c r="H199" s="7">
        <f>IF(D199="common",0,IF(D199="rare",1,IF(D199="epic",2,IF(D199="legendary",3,4))))</f>
        <v/>
      </c>
    </row>
    <row r="200">
      <c r="A200" s="7">
        <f>LOWER(Characters!$Q41)&amp;"-s1-legendary"</f>
        <v/>
      </c>
      <c r="B200" s="7">
        <f>Characters!$Q41</f>
        <v/>
      </c>
      <c r="C200" s="7" t="inlineStr">
        <is>
          <t>S1</t>
        </is>
      </c>
      <c r="D200" s="7" t="inlineStr">
        <is>
          <t>legendary</t>
        </is>
      </c>
      <c r="E200" s="7">
        <f>Characters!$S41-"&amp;Characters!$Q41-"&amp;UPPER(LEFT("legendary",1))</f>
        <v/>
      </c>
      <c r="F200" s="7">
        <f>IF(D200="legendary",1000,IF(D200="secret",100,""))</f>
        <v/>
      </c>
      <c r="G200" s="7" t="n">
        <v>0</v>
      </c>
      <c r="H200" s="7">
        <f>IF(D200="common",0,IF(D200="rare",1,IF(D200="epic",2,IF(D200="legendary",3,4))))</f>
        <v/>
      </c>
    </row>
    <row r="201">
      <c r="A201" s="7">
        <f>LOWER(Characters!$Q41)&amp;"-s1-secret"</f>
        <v/>
      </c>
      <c r="B201" s="7">
        <f>Characters!$Q41</f>
        <v/>
      </c>
      <c r="C201" s="7" t="inlineStr">
        <is>
          <t>S1</t>
        </is>
      </c>
      <c r="D201" s="7" t="inlineStr">
        <is>
          <t>secret</t>
        </is>
      </c>
      <c r="E201" s="7">
        <f>Characters!$S41-"&amp;Characters!$Q41-"&amp;UPPER(LEFT("secret",1))</f>
        <v/>
      </c>
      <c r="F201" s="7">
        <f>IF(D201="legendary",1000,IF(D201="secret",100,""))</f>
        <v/>
      </c>
      <c r="G201" s="7" t="n">
        <v>0</v>
      </c>
      <c r="H201" s="7">
        <f>IF(D201="common",0,IF(D201="rare",1,IF(D201="epic",2,IF(D201="legendary",3,4))))</f>
        <v/>
      </c>
    </row>
    <row r="202">
      <c r="A202" s="7">
        <f>LOWER(Characters!$Q42)&amp;"-s1-common"</f>
        <v/>
      </c>
      <c r="B202" s="7">
        <f>Characters!$Q42</f>
        <v/>
      </c>
      <c r="C202" s="7" t="inlineStr">
        <is>
          <t>S1</t>
        </is>
      </c>
      <c r="D202" s="7" t="inlineStr">
        <is>
          <t>common</t>
        </is>
      </c>
      <c r="E202" s="7">
        <f>Characters!$S42-"&amp;Characters!$Q42-"&amp;UPPER(LEFT("common",1))</f>
        <v/>
      </c>
      <c r="F202" s="7">
        <f>IF(D202="legendary",1000,IF(D202="secret",100,""))</f>
        <v/>
      </c>
      <c r="G202" s="7" t="n">
        <v>0</v>
      </c>
      <c r="H202" s="7">
        <f>IF(D202="common",0,IF(D202="rare",1,IF(D202="epic",2,IF(D202="legendary",3,4))))</f>
        <v/>
      </c>
    </row>
    <row r="203">
      <c r="A203" s="7">
        <f>LOWER(Characters!$Q42)&amp;"-s1-rare"</f>
        <v/>
      </c>
      <c r="B203" s="7">
        <f>Characters!$Q42</f>
        <v/>
      </c>
      <c r="C203" s="7" t="inlineStr">
        <is>
          <t>S1</t>
        </is>
      </c>
      <c r="D203" s="7" t="inlineStr">
        <is>
          <t>rare</t>
        </is>
      </c>
      <c r="E203" s="7">
        <f>Characters!$S42-"&amp;Characters!$Q42-"&amp;UPPER(LEFT("rare",1))</f>
        <v/>
      </c>
      <c r="F203" s="7">
        <f>IF(D203="legendary",1000,IF(D203="secret",100,""))</f>
        <v/>
      </c>
      <c r="G203" s="7" t="n">
        <v>0</v>
      </c>
      <c r="H203" s="7">
        <f>IF(D203="common",0,IF(D203="rare",1,IF(D203="epic",2,IF(D203="legendary",3,4))))</f>
        <v/>
      </c>
    </row>
    <row r="204">
      <c r="A204" s="7">
        <f>LOWER(Characters!$Q42)&amp;"-s1-epic"</f>
        <v/>
      </c>
      <c r="B204" s="7">
        <f>Characters!$Q42</f>
        <v/>
      </c>
      <c r="C204" s="7" t="inlineStr">
        <is>
          <t>S1</t>
        </is>
      </c>
      <c r="D204" s="7" t="inlineStr">
        <is>
          <t>epic</t>
        </is>
      </c>
      <c r="E204" s="7">
        <f>Characters!$S42-"&amp;Characters!$Q42-"&amp;UPPER(LEFT("epic",1))</f>
        <v/>
      </c>
      <c r="F204" s="7">
        <f>IF(D204="legendary",1000,IF(D204="secret",100,""))</f>
        <v/>
      </c>
      <c r="G204" s="7" t="n">
        <v>0</v>
      </c>
      <c r="H204" s="7">
        <f>IF(D204="common",0,IF(D204="rare",1,IF(D204="epic",2,IF(D204="legendary",3,4))))</f>
        <v/>
      </c>
    </row>
    <row r="205">
      <c r="A205" s="7">
        <f>LOWER(Characters!$Q42)&amp;"-s1-legendary"</f>
        <v/>
      </c>
      <c r="B205" s="7">
        <f>Characters!$Q42</f>
        <v/>
      </c>
      <c r="C205" s="7" t="inlineStr">
        <is>
          <t>S1</t>
        </is>
      </c>
      <c r="D205" s="7" t="inlineStr">
        <is>
          <t>legendary</t>
        </is>
      </c>
      <c r="E205" s="7">
        <f>Characters!$S42-"&amp;Characters!$Q42-"&amp;UPPER(LEFT("legendary",1))</f>
        <v/>
      </c>
      <c r="F205" s="7">
        <f>IF(D205="legendary",1000,IF(D205="secret",100,""))</f>
        <v/>
      </c>
      <c r="G205" s="7" t="n">
        <v>0</v>
      </c>
      <c r="H205" s="7">
        <f>IF(D205="common",0,IF(D205="rare",1,IF(D205="epic",2,IF(D205="legendary",3,4))))</f>
        <v/>
      </c>
    </row>
    <row r="206">
      <c r="A206" s="7">
        <f>LOWER(Characters!$Q42)&amp;"-s1-secret"</f>
        <v/>
      </c>
      <c r="B206" s="7">
        <f>Characters!$Q42</f>
        <v/>
      </c>
      <c r="C206" s="7" t="inlineStr">
        <is>
          <t>S1</t>
        </is>
      </c>
      <c r="D206" s="7" t="inlineStr">
        <is>
          <t>secret</t>
        </is>
      </c>
      <c r="E206" s="7">
        <f>Characters!$S42-"&amp;Characters!$Q42-"&amp;UPPER(LEFT("secret",1))</f>
        <v/>
      </c>
      <c r="F206" s="7">
        <f>IF(D206="legendary",1000,IF(D206="secret",100,""))</f>
        <v/>
      </c>
      <c r="G206" s="7" t="n">
        <v>0</v>
      </c>
      <c r="H206" s="7">
        <f>IF(D206="common",0,IF(D206="rare",1,IF(D206="epic",2,IF(D206="legendary",3,4))))</f>
        <v/>
      </c>
    </row>
    <row r="207">
      <c r="A207" s="7">
        <f>LOWER(Characters!$Q43)&amp;"-s1-common"</f>
        <v/>
      </c>
      <c r="B207" s="7">
        <f>Characters!$Q43</f>
        <v/>
      </c>
      <c r="C207" s="7" t="inlineStr">
        <is>
          <t>S1</t>
        </is>
      </c>
      <c r="D207" s="7" t="inlineStr">
        <is>
          <t>common</t>
        </is>
      </c>
      <c r="E207" s="7">
        <f>Characters!$S43-"&amp;Characters!$Q43-"&amp;UPPER(LEFT("common",1))</f>
        <v/>
      </c>
      <c r="F207" s="7">
        <f>IF(D207="legendary",1000,IF(D207="secret",100,""))</f>
        <v/>
      </c>
      <c r="G207" s="7" t="n">
        <v>0</v>
      </c>
      <c r="H207" s="7">
        <f>IF(D207="common",0,IF(D207="rare",1,IF(D207="epic",2,IF(D207="legendary",3,4))))</f>
        <v/>
      </c>
    </row>
    <row r="208">
      <c r="A208" s="7">
        <f>LOWER(Characters!$Q43)&amp;"-s1-rare"</f>
        <v/>
      </c>
      <c r="B208" s="7">
        <f>Characters!$Q43</f>
        <v/>
      </c>
      <c r="C208" s="7" t="inlineStr">
        <is>
          <t>S1</t>
        </is>
      </c>
      <c r="D208" s="7" t="inlineStr">
        <is>
          <t>rare</t>
        </is>
      </c>
      <c r="E208" s="7">
        <f>Characters!$S43-"&amp;Characters!$Q43-"&amp;UPPER(LEFT("rare",1))</f>
        <v/>
      </c>
      <c r="F208" s="7">
        <f>IF(D208="legendary",1000,IF(D208="secret",100,""))</f>
        <v/>
      </c>
      <c r="G208" s="7" t="n">
        <v>0</v>
      </c>
      <c r="H208" s="7">
        <f>IF(D208="common",0,IF(D208="rare",1,IF(D208="epic",2,IF(D208="legendary",3,4))))</f>
        <v/>
      </c>
    </row>
    <row r="209">
      <c r="A209" s="7">
        <f>LOWER(Characters!$Q43)&amp;"-s1-epic"</f>
        <v/>
      </c>
      <c r="B209" s="7">
        <f>Characters!$Q43</f>
        <v/>
      </c>
      <c r="C209" s="7" t="inlineStr">
        <is>
          <t>S1</t>
        </is>
      </c>
      <c r="D209" s="7" t="inlineStr">
        <is>
          <t>epic</t>
        </is>
      </c>
      <c r="E209" s="7">
        <f>Characters!$S43-"&amp;Characters!$Q43-"&amp;UPPER(LEFT("epic",1))</f>
        <v/>
      </c>
      <c r="F209" s="7">
        <f>IF(D209="legendary",1000,IF(D209="secret",100,""))</f>
        <v/>
      </c>
      <c r="G209" s="7" t="n">
        <v>0</v>
      </c>
      <c r="H209" s="7">
        <f>IF(D209="common",0,IF(D209="rare",1,IF(D209="epic",2,IF(D209="legendary",3,4))))</f>
        <v/>
      </c>
    </row>
    <row r="210">
      <c r="A210" s="7">
        <f>LOWER(Characters!$Q43)&amp;"-s1-legendary"</f>
        <v/>
      </c>
      <c r="B210" s="7">
        <f>Characters!$Q43</f>
        <v/>
      </c>
      <c r="C210" s="7" t="inlineStr">
        <is>
          <t>S1</t>
        </is>
      </c>
      <c r="D210" s="7" t="inlineStr">
        <is>
          <t>legendary</t>
        </is>
      </c>
      <c r="E210" s="7">
        <f>Characters!$S43-"&amp;Characters!$Q43-"&amp;UPPER(LEFT("legendary",1))</f>
        <v/>
      </c>
      <c r="F210" s="7">
        <f>IF(D210="legendary",1000,IF(D210="secret",100,""))</f>
        <v/>
      </c>
      <c r="G210" s="7" t="n">
        <v>0</v>
      </c>
      <c r="H210" s="7">
        <f>IF(D210="common",0,IF(D210="rare",1,IF(D210="epic",2,IF(D210="legendary",3,4))))</f>
        <v/>
      </c>
    </row>
    <row r="211">
      <c r="A211" s="7">
        <f>LOWER(Characters!$Q43)&amp;"-s1-secret"</f>
        <v/>
      </c>
      <c r="B211" s="7">
        <f>Characters!$Q43</f>
        <v/>
      </c>
      <c r="C211" s="7" t="inlineStr">
        <is>
          <t>S1</t>
        </is>
      </c>
      <c r="D211" s="7" t="inlineStr">
        <is>
          <t>secret</t>
        </is>
      </c>
      <c r="E211" s="7">
        <f>Characters!$S43-"&amp;Characters!$Q43-"&amp;UPPER(LEFT("secret",1))</f>
        <v/>
      </c>
      <c r="F211" s="7">
        <f>IF(D211="legendary",1000,IF(D211="secret",100,""))</f>
        <v/>
      </c>
      <c r="G211" s="7" t="n">
        <v>0</v>
      </c>
      <c r="H211" s="7">
        <f>IF(D211="common",0,IF(D211="rare",1,IF(D211="epic",2,IF(D211="legendary",3,4))))</f>
        <v/>
      </c>
    </row>
    <row r="212">
      <c r="A212" s="7">
        <f>LOWER(Characters!$Q44)&amp;"-s1-common"</f>
        <v/>
      </c>
      <c r="B212" s="7">
        <f>Characters!$Q44</f>
        <v/>
      </c>
      <c r="C212" s="7" t="inlineStr">
        <is>
          <t>S1</t>
        </is>
      </c>
      <c r="D212" s="7" t="inlineStr">
        <is>
          <t>common</t>
        </is>
      </c>
      <c r="E212" s="7">
        <f>Characters!$S44-"&amp;Characters!$Q44-"&amp;UPPER(LEFT("common",1))</f>
        <v/>
      </c>
      <c r="F212" s="7">
        <f>IF(D212="legendary",1000,IF(D212="secret",100,""))</f>
        <v/>
      </c>
      <c r="G212" s="7" t="n">
        <v>0</v>
      </c>
      <c r="H212" s="7">
        <f>IF(D212="common",0,IF(D212="rare",1,IF(D212="epic",2,IF(D212="legendary",3,4))))</f>
        <v/>
      </c>
    </row>
    <row r="213">
      <c r="A213" s="7">
        <f>LOWER(Characters!$Q44)&amp;"-s1-rare"</f>
        <v/>
      </c>
      <c r="B213" s="7">
        <f>Characters!$Q44</f>
        <v/>
      </c>
      <c r="C213" s="7" t="inlineStr">
        <is>
          <t>S1</t>
        </is>
      </c>
      <c r="D213" s="7" t="inlineStr">
        <is>
          <t>rare</t>
        </is>
      </c>
      <c r="E213" s="7">
        <f>Characters!$S44-"&amp;Characters!$Q44-"&amp;UPPER(LEFT("rare",1))</f>
        <v/>
      </c>
      <c r="F213" s="7">
        <f>IF(D213="legendary",1000,IF(D213="secret",100,""))</f>
        <v/>
      </c>
      <c r="G213" s="7" t="n">
        <v>0</v>
      </c>
      <c r="H213" s="7">
        <f>IF(D213="common",0,IF(D213="rare",1,IF(D213="epic",2,IF(D213="legendary",3,4))))</f>
        <v/>
      </c>
    </row>
    <row r="214">
      <c r="A214" s="7">
        <f>LOWER(Characters!$Q44)&amp;"-s1-epic"</f>
        <v/>
      </c>
      <c r="B214" s="7">
        <f>Characters!$Q44</f>
        <v/>
      </c>
      <c r="C214" s="7" t="inlineStr">
        <is>
          <t>S1</t>
        </is>
      </c>
      <c r="D214" s="7" t="inlineStr">
        <is>
          <t>epic</t>
        </is>
      </c>
      <c r="E214" s="7">
        <f>Characters!$S44-"&amp;Characters!$Q44-"&amp;UPPER(LEFT("epic",1))</f>
        <v/>
      </c>
      <c r="F214" s="7">
        <f>IF(D214="legendary",1000,IF(D214="secret",100,""))</f>
        <v/>
      </c>
      <c r="G214" s="7" t="n">
        <v>0</v>
      </c>
      <c r="H214" s="7">
        <f>IF(D214="common",0,IF(D214="rare",1,IF(D214="epic",2,IF(D214="legendary",3,4))))</f>
        <v/>
      </c>
    </row>
    <row r="215">
      <c r="A215" s="7">
        <f>LOWER(Characters!$Q44)&amp;"-s1-legendary"</f>
        <v/>
      </c>
      <c r="B215" s="7">
        <f>Characters!$Q44</f>
        <v/>
      </c>
      <c r="C215" s="7" t="inlineStr">
        <is>
          <t>S1</t>
        </is>
      </c>
      <c r="D215" s="7" t="inlineStr">
        <is>
          <t>legendary</t>
        </is>
      </c>
      <c r="E215" s="7">
        <f>Characters!$S44-"&amp;Characters!$Q44-"&amp;UPPER(LEFT("legendary",1))</f>
        <v/>
      </c>
      <c r="F215" s="7">
        <f>IF(D215="legendary",1000,IF(D215="secret",100,""))</f>
        <v/>
      </c>
      <c r="G215" s="7" t="n">
        <v>0</v>
      </c>
      <c r="H215" s="7">
        <f>IF(D215="common",0,IF(D215="rare",1,IF(D215="epic",2,IF(D215="legendary",3,4))))</f>
        <v/>
      </c>
    </row>
    <row r="216">
      <c r="A216" s="7">
        <f>LOWER(Characters!$Q44)&amp;"-s1-secret"</f>
        <v/>
      </c>
      <c r="B216" s="7">
        <f>Characters!$Q44</f>
        <v/>
      </c>
      <c r="C216" s="7" t="inlineStr">
        <is>
          <t>S1</t>
        </is>
      </c>
      <c r="D216" s="7" t="inlineStr">
        <is>
          <t>secret</t>
        </is>
      </c>
      <c r="E216" s="7">
        <f>Characters!$S44-"&amp;Characters!$Q44-"&amp;UPPER(LEFT("secret",1))</f>
        <v/>
      </c>
      <c r="F216" s="7">
        <f>IF(D216="legendary",1000,IF(D216="secret",100,""))</f>
        <v/>
      </c>
      <c r="G216" s="7" t="n">
        <v>0</v>
      </c>
      <c r="H216" s="7">
        <f>IF(D216="common",0,IF(D216="rare",1,IF(D216="epic",2,IF(D216="legendary",3,4))))</f>
        <v/>
      </c>
    </row>
    <row r="217">
      <c r="A217" s="7">
        <f>LOWER(Characters!$Q45)&amp;"-s1-common"</f>
        <v/>
      </c>
      <c r="B217" s="7">
        <f>Characters!$Q45</f>
        <v/>
      </c>
      <c r="C217" s="7" t="inlineStr">
        <is>
          <t>S1</t>
        </is>
      </c>
      <c r="D217" s="7" t="inlineStr">
        <is>
          <t>common</t>
        </is>
      </c>
      <c r="E217" s="7">
        <f>Characters!$S45-"&amp;Characters!$Q45-"&amp;UPPER(LEFT("common",1))</f>
        <v/>
      </c>
      <c r="F217" s="7">
        <f>IF(D217="legendary",1000,IF(D217="secret",100,""))</f>
        <v/>
      </c>
      <c r="G217" s="7" t="n">
        <v>0</v>
      </c>
      <c r="H217" s="7">
        <f>IF(D217="common",0,IF(D217="rare",1,IF(D217="epic",2,IF(D217="legendary",3,4))))</f>
        <v/>
      </c>
    </row>
    <row r="218">
      <c r="A218" s="7">
        <f>LOWER(Characters!$Q45)&amp;"-s1-rare"</f>
        <v/>
      </c>
      <c r="B218" s="7">
        <f>Characters!$Q45</f>
        <v/>
      </c>
      <c r="C218" s="7" t="inlineStr">
        <is>
          <t>S1</t>
        </is>
      </c>
      <c r="D218" s="7" t="inlineStr">
        <is>
          <t>rare</t>
        </is>
      </c>
      <c r="E218" s="7">
        <f>Characters!$S45-"&amp;Characters!$Q45-"&amp;UPPER(LEFT("rare",1))</f>
        <v/>
      </c>
      <c r="F218" s="7">
        <f>IF(D218="legendary",1000,IF(D218="secret",100,""))</f>
        <v/>
      </c>
      <c r="G218" s="7" t="n">
        <v>0</v>
      </c>
      <c r="H218" s="7">
        <f>IF(D218="common",0,IF(D218="rare",1,IF(D218="epic",2,IF(D218="legendary",3,4))))</f>
        <v/>
      </c>
    </row>
    <row r="219">
      <c r="A219" s="7">
        <f>LOWER(Characters!$Q45)&amp;"-s1-epic"</f>
        <v/>
      </c>
      <c r="B219" s="7">
        <f>Characters!$Q45</f>
        <v/>
      </c>
      <c r="C219" s="7" t="inlineStr">
        <is>
          <t>S1</t>
        </is>
      </c>
      <c r="D219" s="7" t="inlineStr">
        <is>
          <t>epic</t>
        </is>
      </c>
      <c r="E219" s="7">
        <f>Characters!$S45-"&amp;Characters!$Q45-"&amp;UPPER(LEFT("epic",1))</f>
        <v/>
      </c>
      <c r="F219" s="7">
        <f>IF(D219="legendary",1000,IF(D219="secret",100,""))</f>
        <v/>
      </c>
      <c r="G219" s="7" t="n">
        <v>0</v>
      </c>
      <c r="H219" s="7">
        <f>IF(D219="common",0,IF(D219="rare",1,IF(D219="epic",2,IF(D219="legendary",3,4))))</f>
        <v/>
      </c>
    </row>
    <row r="220">
      <c r="A220" s="7">
        <f>LOWER(Characters!$Q45)&amp;"-s1-legendary"</f>
        <v/>
      </c>
      <c r="B220" s="7">
        <f>Characters!$Q45</f>
        <v/>
      </c>
      <c r="C220" s="7" t="inlineStr">
        <is>
          <t>S1</t>
        </is>
      </c>
      <c r="D220" s="7" t="inlineStr">
        <is>
          <t>legendary</t>
        </is>
      </c>
      <c r="E220" s="7">
        <f>Characters!$S45-"&amp;Characters!$Q45-"&amp;UPPER(LEFT("legendary",1))</f>
        <v/>
      </c>
      <c r="F220" s="7">
        <f>IF(D220="legendary",1000,IF(D220="secret",100,""))</f>
        <v/>
      </c>
      <c r="G220" s="7" t="n">
        <v>0</v>
      </c>
      <c r="H220" s="7">
        <f>IF(D220="common",0,IF(D220="rare",1,IF(D220="epic",2,IF(D220="legendary",3,4))))</f>
        <v/>
      </c>
    </row>
    <row r="221">
      <c r="A221" s="7">
        <f>LOWER(Characters!$Q45)&amp;"-s1-secret"</f>
        <v/>
      </c>
      <c r="B221" s="7">
        <f>Characters!$Q45</f>
        <v/>
      </c>
      <c r="C221" s="7" t="inlineStr">
        <is>
          <t>S1</t>
        </is>
      </c>
      <c r="D221" s="7" t="inlineStr">
        <is>
          <t>secret</t>
        </is>
      </c>
      <c r="E221" s="7">
        <f>Characters!$S45-"&amp;Characters!$Q45-"&amp;UPPER(LEFT("secret",1))</f>
        <v/>
      </c>
      <c r="F221" s="7">
        <f>IF(D221="legendary",1000,IF(D221="secret",100,""))</f>
        <v/>
      </c>
      <c r="G221" s="7" t="n">
        <v>0</v>
      </c>
      <c r="H221" s="7">
        <f>IF(D221="common",0,IF(D221="rare",1,IF(D221="epic",2,IF(D221="legendary",3,4))))</f>
        <v/>
      </c>
    </row>
    <row r="222">
      <c r="A222" s="7">
        <f>LOWER(Characters!$Q46)&amp;"-s1-common"</f>
        <v/>
      </c>
      <c r="B222" s="7">
        <f>Characters!$Q46</f>
        <v/>
      </c>
      <c r="C222" s="7" t="inlineStr">
        <is>
          <t>S1</t>
        </is>
      </c>
      <c r="D222" s="7" t="inlineStr">
        <is>
          <t>common</t>
        </is>
      </c>
      <c r="E222" s="7">
        <f>Characters!$S46-"&amp;Characters!$Q46-"&amp;UPPER(LEFT("common",1))</f>
        <v/>
      </c>
      <c r="F222" s="7">
        <f>IF(D222="legendary",1000,IF(D222="secret",100,""))</f>
        <v/>
      </c>
      <c r="G222" s="7" t="n">
        <v>0</v>
      </c>
      <c r="H222" s="7">
        <f>IF(D222="common",0,IF(D222="rare",1,IF(D222="epic",2,IF(D222="legendary",3,4))))</f>
        <v/>
      </c>
    </row>
    <row r="223">
      <c r="A223" s="7">
        <f>LOWER(Characters!$Q46)&amp;"-s1-rare"</f>
        <v/>
      </c>
      <c r="B223" s="7">
        <f>Characters!$Q46</f>
        <v/>
      </c>
      <c r="C223" s="7" t="inlineStr">
        <is>
          <t>S1</t>
        </is>
      </c>
      <c r="D223" s="7" t="inlineStr">
        <is>
          <t>rare</t>
        </is>
      </c>
      <c r="E223" s="7">
        <f>Characters!$S46-"&amp;Characters!$Q46-"&amp;UPPER(LEFT("rare",1))</f>
        <v/>
      </c>
      <c r="F223" s="7">
        <f>IF(D223="legendary",1000,IF(D223="secret",100,""))</f>
        <v/>
      </c>
      <c r="G223" s="7" t="n">
        <v>0</v>
      </c>
      <c r="H223" s="7">
        <f>IF(D223="common",0,IF(D223="rare",1,IF(D223="epic",2,IF(D223="legendary",3,4))))</f>
        <v/>
      </c>
    </row>
    <row r="224">
      <c r="A224" s="7">
        <f>LOWER(Characters!$Q46)&amp;"-s1-epic"</f>
        <v/>
      </c>
      <c r="B224" s="7">
        <f>Characters!$Q46</f>
        <v/>
      </c>
      <c r="C224" s="7" t="inlineStr">
        <is>
          <t>S1</t>
        </is>
      </c>
      <c r="D224" s="7" t="inlineStr">
        <is>
          <t>epic</t>
        </is>
      </c>
      <c r="E224" s="7">
        <f>Characters!$S46-"&amp;Characters!$Q46-"&amp;UPPER(LEFT("epic",1))</f>
        <v/>
      </c>
      <c r="F224" s="7">
        <f>IF(D224="legendary",1000,IF(D224="secret",100,""))</f>
        <v/>
      </c>
      <c r="G224" s="7" t="n">
        <v>0</v>
      </c>
      <c r="H224" s="7">
        <f>IF(D224="common",0,IF(D224="rare",1,IF(D224="epic",2,IF(D224="legendary",3,4))))</f>
        <v/>
      </c>
    </row>
    <row r="225">
      <c r="A225" s="7">
        <f>LOWER(Characters!$Q46)&amp;"-s1-legendary"</f>
        <v/>
      </c>
      <c r="B225" s="7">
        <f>Characters!$Q46</f>
        <v/>
      </c>
      <c r="C225" s="7" t="inlineStr">
        <is>
          <t>S1</t>
        </is>
      </c>
      <c r="D225" s="7" t="inlineStr">
        <is>
          <t>legendary</t>
        </is>
      </c>
      <c r="E225" s="7">
        <f>Characters!$S46-"&amp;Characters!$Q46-"&amp;UPPER(LEFT("legendary",1))</f>
        <v/>
      </c>
      <c r="F225" s="7">
        <f>IF(D225="legendary",1000,IF(D225="secret",100,""))</f>
        <v/>
      </c>
      <c r="G225" s="7" t="n">
        <v>0</v>
      </c>
      <c r="H225" s="7">
        <f>IF(D225="common",0,IF(D225="rare",1,IF(D225="epic",2,IF(D225="legendary",3,4))))</f>
        <v/>
      </c>
    </row>
    <row r="226">
      <c r="A226" s="7">
        <f>LOWER(Characters!$Q46)&amp;"-s1-secret"</f>
        <v/>
      </c>
      <c r="B226" s="7">
        <f>Characters!$Q46</f>
        <v/>
      </c>
      <c r="C226" s="7" t="inlineStr">
        <is>
          <t>S1</t>
        </is>
      </c>
      <c r="D226" s="7" t="inlineStr">
        <is>
          <t>secret</t>
        </is>
      </c>
      <c r="E226" s="7">
        <f>Characters!$S46-"&amp;Characters!$Q46-"&amp;UPPER(LEFT("secret",1))</f>
        <v/>
      </c>
      <c r="F226" s="7">
        <f>IF(D226="legendary",1000,IF(D226="secret",100,""))</f>
        <v/>
      </c>
      <c r="G226" s="7" t="n">
        <v>0</v>
      </c>
      <c r="H226" s="7">
        <f>IF(D226="common",0,IF(D226="rare",1,IF(D226="epic",2,IF(D226="legendary",3,4))))</f>
        <v/>
      </c>
    </row>
    <row r="227">
      <c r="A227" s="7">
        <f>LOWER(Characters!$Q47)&amp;"-s1-common"</f>
        <v/>
      </c>
      <c r="B227" s="7">
        <f>Characters!$Q47</f>
        <v/>
      </c>
      <c r="C227" s="7" t="inlineStr">
        <is>
          <t>S1</t>
        </is>
      </c>
      <c r="D227" s="7" t="inlineStr">
        <is>
          <t>common</t>
        </is>
      </c>
      <c r="E227" s="7">
        <f>Characters!$S47-"&amp;Characters!$Q47-"&amp;UPPER(LEFT("common",1))</f>
        <v/>
      </c>
      <c r="F227" s="7">
        <f>IF(D227="legendary",1000,IF(D227="secret",100,""))</f>
        <v/>
      </c>
      <c r="G227" s="7" t="n">
        <v>0</v>
      </c>
      <c r="H227" s="7">
        <f>IF(D227="common",0,IF(D227="rare",1,IF(D227="epic",2,IF(D227="legendary",3,4))))</f>
        <v/>
      </c>
    </row>
    <row r="228">
      <c r="A228" s="7">
        <f>LOWER(Characters!$Q47)&amp;"-s1-rare"</f>
        <v/>
      </c>
      <c r="B228" s="7">
        <f>Characters!$Q47</f>
        <v/>
      </c>
      <c r="C228" s="7" t="inlineStr">
        <is>
          <t>S1</t>
        </is>
      </c>
      <c r="D228" s="7" t="inlineStr">
        <is>
          <t>rare</t>
        </is>
      </c>
      <c r="E228" s="7">
        <f>Characters!$S47-"&amp;Characters!$Q47-"&amp;UPPER(LEFT("rare",1))</f>
        <v/>
      </c>
      <c r="F228" s="7">
        <f>IF(D228="legendary",1000,IF(D228="secret",100,""))</f>
        <v/>
      </c>
      <c r="G228" s="7" t="n">
        <v>0</v>
      </c>
      <c r="H228" s="7">
        <f>IF(D228="common",0,IF(D228="rare",1,IF(D228="epic",2,IF(D228="legendary",3,4))))</f>
        <v/>
      </c>
    </row>
    <row r="229">
      <c r="A229" s="7">
        <f>LOWER(Characters!$Q47)&amp;"-s1-epic"</f>
        <v/>
      </c>
      <c r="B229" s="7">
        <f>Characters!$Q47</f>
        <v/>
      </c>
      <c r="C229" s="7" t="inlineStr">
        <is>
          <t>S1</t>
        </is>
      </c>
      <c r="D229" s="7" t="inlineStr">
        <is>
          <t>epic</t>
        </is>
      </c>
      <c r="E229" s="7">
        <f>Characters!$S47-"&amp;Characters!$Q47-"&amp;UPPER(LEFT("epic",1))</f>
        <v/>
      </c>
      <c r="F229" s="7">
        <f>IF(D229="legendary",1000,IF(D229="secret",100,""))</f>
        <v/>
      </c>
      <c r="G229" s="7" t="n">
        <v>0</v>
      </c>
      <c r="H229" s="7">
        <f>IF(D229="common",0,IF(D229="rare",1,IF(D229="epic",2,IF(D229="legendary",3,4))))</f>
        <v/>
      </c>
    </row>
    <row r="230">
      <c r="A230" s="7">
        <f>LOWER(Characters!$Q47)&amp;"-s1-legendary"</f>
        <v/>
      </c>
      <c r="B230" s="7">
        <f>Characters!$Q47</f>
        <v/>
      </c>
      <c r="C230" s="7" t="inlineStr">
        <is>
          <t>S1</t>
        </is>
      </c>
      <c r="D230" s="7" t="inlineStr">
        <is>
          <t>legendary</t>
        </is>
      </c>
      <c r="E230" s="7">
        <f>Characters!$S47-"&amp;Characters!$Q47-"&amp;UPPER(LEFT("legendary",1))</f>
        <v/>
      </c>
      <c r="F230" s="7">
        <f>IF(D230="legendary",1000,IF(D230="secret",100,""))</f>
        <v/>
      </c>
      <c r="G230" s="7" t="n">
        <v>0</v>
      </c>
      <c r="H230" s="7">
        <f>IF(D230="common",0,IF(D230="rare",1,IF(D230="epic",2,IF(D230="legendary",3,4))))</f>
        <v/>
      </c>
    </row>
    <row r="231">
      <c r="A231" s="7">
        <f>LOWER(Characters!$Q47)&amp;"-s1-secret"</f>
        <v/>
      </c>
      <c r="B231" s="7">
        <f>Characters!$Q47</f>
        <v/>
      </c>
      <c r="C231" s="7" t="inlineStr">
        <is>
          <t>S1</t>
        </is>
      </c>
      <c r="D231" s="7" t="inlineStr">
        <is>
          <t>secret</t>
        </is>
      </c>
      <c r="E231" s="7">
        <f>Characters!$S47-"&amp;Characters!$Q47-"&amp;UPPER(LEFT("secret",1))</f>
        <v/>
      </c>
      <c r="F231" s="7">
        <f>IF(D231="legendary",1000,IF(D231="secret",100,""))</f>
        <v/>
      </c>
      <c r="G231" s="7" t="n">
        <v>0</v>
      </c>
      <c r="H231" s="7">
        <f>IF(D231="common",0,IF(D231="rare",1,IF(D231="epic",2,IF(D231="legendary",3,4))))</f>
        <v/>
      </c>
    </row>
    <row r="232">
      <c r="A232" s="7">
        <f>LOWER(Characters!$Q48)&amp;"-s1-common"</f>
        <v/>
      </c>
      <c r="B232" s="7">
        <f>Characters!$Q48</f>
        <v/>
      </c>
      <c r="C232" s="7" t="inlineStr">
        <is>
          <t>S1</t>
        </is>
      </c>
      <c r="D232" s="7" t="inlineStr">
        <is>
          <t>common</t>
        </is>
      </c>
      <c r="E232" s="7">
        <f>Characters!$S48-"&amp;Characters!$Q48-"&amp;UPPER(LEFT("common",1))</f>
        <v/>
      </c>
      <c r="F232" s="7">
        <f>IF(D232="legendary",1000,IF(D232="secret",100,""))</f>
        <v/>
      </c>
      <c r="G232" s="7" t="n">
        <v>0</v>
      </c>
      <c r="H232" s="7">
        <f>IF(D232="common",0,IF(D232="rare",1,IF(D232="epic",2,IF(D232="legendary",3,4))))</f>
        <v/>
      </c>
    </row>
    <row r="233">
      <c r="A233" s="7">
        <f>LOWER(Characters!$Q48)&amp;"-s1-rare"</f>
        <v/>
      </c>
      <c r="B233" s="7">
        <f>Characters!$Q48</f>
        <v/>
      </c>
      <c r="C233" s="7" t="inlineStr">
        <is>
          <t>S1</t>
        </is>
      </c>
      <c r="D233" s="7" t="inlineStr">
        <is>
          <t>rare</t>
        </is>
      </c>
      <c r="E233" s="7">
        <f>Characters!$S48-"&amp;Characters!$Q48-"&amp;UPPER(LEFT("rare",1))</f>
        <v/>
      </c>
      <c r="F233" s="7">
        <f>IF(D233="legendary",1000,IF(D233="secret",100,""))</f>
        <v/>
      </c>
      <c r="G233" s="7" t="n">
        <v>0</v>
      </c>
      <c r="H233" s="7">
        <f>IF(D233="common",0,IF(D233="rare",1,IF(D233="epic",2,IF(D233="legendary",3,4))))</f>
        <v/>
      </c>
    </row>
    <row r="234">
      <c r="A234" s="7">
        <f>LOWER(Characters!$Q48)&amp;"-s1-epic"</f>
        <v/>
      </c>
      <c r="B234" s="7">
        <f>Characters!$Q48</f>
        <v/>
      </c>
      <c r="C234" s="7" t="inlineStr">
        <is>
          <t>S1</t>
        </is>
      </c>
      <c r="D234" s="7" t="inlineStr">
        <is>
          <t>epic</t>
        </is>
      </c>
      <c r="E234" s="7">
        <f>Characters!$S48-"&amp;Characters!$Q48-"&amp;UPPER(LEFT("epic",1))</f>
        <v/>
      </c>
      <c r="F234" s="7">
        <f>IF(D234="legendary",1000,IF(D234="secret",100,""))</f>
        <v/>
      </c>
      <c r="G234" s="7" t="n">
        <v>0</v>
      </c>
      <c r="H234" s="7">
        <f>IF(D234="common",0,IF(D234="rare",1,IF(D234="epic",2,IF(D234="legendary",3,4))))</f>
        <v/>
      </c>
    </row>
    <row r="235">
      <c r="A235" s="7">
        <f>LOWER(Characters!$Q48)&amp;"-s1-legendary"</f>
        <v/>
      </c>
      <c r="B235" s="7">
        <f>Characters!$Q48</f>
        <v/>
      </c>
      <c r="C235" s="7" t="inlineStr">
        <is>
          <t>S1</t>
        </is>
      </c>
      <c r="D235" s="7" t="inlineStr">
        <is>
          <t>legendary</t>
        </is>
      </c>
      <c r="E235" s="7">
        <f>Characters!$S48-"&amp;Characters!$Q48-"&amp;UPPER(LEFT("legendary",1))</f>
        <v/>
      </c>
      <c r="F235" s="7">
        <f>IF(D235="legendary",1000,IF(D235="secret",100,""))</f>
        <v/>
      </c>
      <c r="G235" s="7" t="n">
        <v>0</v>
      </c>
      <c r="H235" s="7">
        <f>IF(D235="common",0,IF(D235="rare",1,IF(D235="epic",2,IF(D235="legendary",3,4))))</f>
        <v/>
      </c>
    </row>
    <row r="236">
      <c r="A236" s="7">
        <f>LOWER(Characters!$Q48)&amp;"-s1-secret"</f>
        <v/>
      </c>
      <c r="B236" s="7">
        <f>Characters!$Q48</f>
        <v/>
      </c>
      <c r="C236" s="7" t="inlineStr">
        <is>
          <t>S1</t>
        </is>
      </c>
      <c r="D236" s="7" t="inlineStr">
        <is>
          <t>secret</t>
        </is>
      </c>
      <c r="E236" s="7">
        <f>Characters!$S48-"&amp;Characters!$Q48-"&amp;UPPER(LEFT("secret",1))</f>
        <v/>
      </c>
      <c r="F236" s="7">
        <f>IF(D236="legendary",1000,IF(D236="secret",100,""))</f>
        <v/>
      </c>
      <c r="G236" s="7" t="n">
        <v>0</v>
      </c>
      <c r="H236" s="7">
        <f>IF(D236="common",0,IF(D236="rare",1,IF(D236="epic",2,IF(D236="legendary",3,4))))</f>
        <v/>
      </c>
    </row>
    <row r="237">
      <c r="A237" s="7">
        <f>LOWER(Characters!$Q49)&amp;"-s1-common"</f>
        <v/>
      </c>
      <c r="B237" s="7">
        <f>Characters!$Q49</f>
        <v/>
      </c>
      <c r="C237" s="7" t="inlineStr">
        <is>
          <t>S1</t>
        </is>
      </c>
      <c r="D237" s="7" t="inlineStr">
        <is>
          <t>common</t>
        </is>
      </c>
      <c r="E237" s="7">
        <f>Characters!$S49-"&amp;Characters!$Q49-"&amp;UPPER(LEFT("common",1))</f>
        <v/>
      </c>
      <c r="F237" s="7">
        <f>IF(D237="legendary",1000,IF(D237="secret",100,""))</f>
        <v/>
      </c>
      <c r="G237" s="7" t="n">
        <v>0</v>
      </c>
      <c r="H237" s="7">
        <f>IF(D237="common",0,IF(D237="rare",1,IF(D237="epic",2,IF(D237="legendary",3,4))))</f>
        <v/>
      </c>
    </row>
    <row r="238">
      <c r="A238" s="7">
        <f>LOWER(Characters!$Q49)&amp;"-s1-rare"</f>
        <v/>
      </c>
      <c r="B238" s="7">
        <f>Characters!$Q49</f>
        <v/>
      </c>
      <c r="C238" s="7" t="inlineStr">
        <is>
          <t>S1</t>
        </is>
      </c>
      <c r="D238" s="7" t="inlineStr">
        <is>
          <t>rare</t>
        </is>
      </c>
      <c r="E238" s="7">
        <f>Characters!$S49-"&amp;Characters!$Q49-"&amp;UPPER(LEFT("rare",1))</f>
        <v/>
      </c>
      <c r="F238" s="7">
        <f>IF(D238="legendary",1000,IF(D238="secret",100,""))</f>
        <v/>
      </c>
      <c r="G238" s="7" t="n">
        <v>0</v>
      </c>
      <c r="H238" s="7">
        <f>IF(D238="common",0,IF(D238="rare",1,IF(D238="epic",2,IF(D238="legendary",3,4))))</f>
        <v/>
      </c>
    </row>
    <row r="239">
      <c r="A239" s="7">
        <f>LOWER(Characters!$Q49)&amp;"-s1-epic"</f>
        <v/>
      </c>
      <c r="B239" s="7">
        <f>Characters!$Q49</f>
        <v/>
      </c>
      <c r="C239" s="7" t="inlineStr">
        <is>
          <t>S1</t>
        </is>
      </c>
      <c r="D239" s="7" t="inlineStr">
        <is>
          <t>epic</t>
        </is>
      </c>
      <c r="E239" s="7">
        <f>Characters!$S49-"&amp;Characters!$Q49-"&amp;UPPER(LEFT("epic",1))</f>
        <v/>
      </c>
      <c r="F239" s="7">
        <f>IF(D239="legendary",1000,IF(D239="secret",100,""))</f>
        <v/>
      </c>
      <c r="G239" s="7" t="n">
        <v>0</v>
      </c>
      <c r="H239" s="7">
        <f>IF(D239="common",0,IF(D239="rare",1,IF(D239="epic",2,IF(D239="legendary",3,4))))</f>
        <v/>
      </c>
    </row>
    <row r="240">
      <c r="A240" s="7">
        <f>LOWER(Characters!$Q49)&amp;"-s1-legendary"</f>
        <v/>
      </c>
      <c r="B240" s="7">
        <f>Characters!$Q49</f>
        <v/>
      </c>
      <c r="C240" s="7" t="inlineStr">
        <is>
          <t>S1</t>
        </is>
      </c>
      <c r="D240" s="7" t="inlineStr">
        <is>
          <t>legendary</t>
        </is>
      </c>
      <c r="E240" s="7">
        <f>Characters!$S49-"&amp;Characters!$Q49-"&amp;UPPER(LEFT("legendary",1))</f>
        <v/>
      </c>
      <c r="F240" s="7">
        <f>IF(D240="legendary",1000,IF(D240="secret",100,""))</f>
        <v/>
      </c>
      <c r="G240" s="7" t="n">
        <v>0</v>
      </c>
      <c r="H240" s="7">
        <f>IF(D240="common",0,IF(D240="rare",1,IF(D240="epic",2,IF(D240="legendary",3,4))))</f>
        <v/>
      </c>
    </row>
    <row r="241">
      <c r="A241" s="7">
        <f>LOWER(Characters!$Q49)&amp;"-s1-secret"</f>
        <v/>
      </c>
      <c r="B241" s="7">
        <f>Characters!$Q49</f>
        <v/>
      </c>
      <c r="C241" s="7" t="inlineStr">
        <is>
          <t>S1</t>
        </is>
      </c>
      <c r="D241" s="7" t="inlineStr">
        <is>
          <t>secret</t>
        </is>
      </c>
      <c r="E241" s="7">
        <f>Characters!$S49-"&amp;Characters!$Q49-"&amp;UPPER(LEFT("secret",1))</f>
        <v/>
      </c>
      <c r="F241" s="7">
        <f>IF(D241="legendary",1000,IF(D241="secret",100,""))</f>
        <v/>
      </c>
      <c r="G241" s="7" t="n">
        <v>0</v>
      </c>
      <c r="H241" s="7">
        <f>IF(D241="common",0,IF(D241="rare",1,IF(D241="epic",2,IF(D241="legendary",3,4))))</f>
        <v/>
      </c>
    </row>
    <row r="242">
      <c r="A242" s="7">
        <f>LOWER(Characters!$Q50)&amp;"-s1-common"</f>
        <v/>
      </c>
      <c r="B242" s="7">
        <f>Characters!$Q50</f>
        <v/>
      </c>
      <c r="C242" s="7" t="inlineStr">
        <is>
          <t>S1</t>
        </is>
      </c>
      <c r="D242" s="7" t="inlineStr">
        <is>
          <t>common</t>
        </is>
      </c>
      <c r="E242" s="7">
        <f>Characters!$S50-"&amp;Characters!$Q50-"&amp;UPPER(LEFT("common",1))</f>
        <v/>
      </c>
      <c r="F242" s="7">
        <f>IF(D242="legendary",1000,IF(D242="secret",100,""))</f>
        <v/>
      </c>
      <c r="G242" s="7" t="n">
        <v>0</v>
      </c>
      <c r="H242" s="7">
        <f>IF(D242="common",0,IF(D242="rare",1,IF(D242="epic",2,IF(D242="legendary",3,4))))</f>
        <v/>
      </c>
    </row>
    <row r="243">
      <c r="A243" s="7">
        <f>LOWER(Characters!$Q50)&amp;"-s1-rare"</f>
        <v/>
      </c>
      <c r="B243" s="7">
        <f>Characters!$Q50</f>
        <v/>
      </c>
      <c r="C243" s="7" t="inlineStr">
        <is>
          <t>S1</t>
        </is>
      </c>
      <c r="D243" s="7" t="inlineStr">
        <is>
          <t>rare</t>
        </is>
      </c>
      <c r="E243" s="7">
        <f>Characters!$S50-"&amp;Characters!$Q50-"&amp;UPPER(LEFT("rare",1))</f>
        <v/>
      </c>
      <c r="F243" s="7">
        <f>IF(D243="legendary",1000,IF(D243="secret",100,""))</f>
        <v/>
      </c>
      <c r="G243" s="7" t="n">
        <v>0</v>
      </c>
      <c r="H243" s="7">
        <f>IF(D243="common",0,IF(D243="rare",1,IF(D243="epic",2,IF(D243="legendary",3,4))))</f>
        <v/>
      </c>
    </row>
    <row r="244">
      <c r="A244" s="7">
        <f>LOWER(Characters!$Q50)&amp;"-s1-epic"</f>
        <v/>
      </c>
      <c r="B244" s="7">
        <f>Characters!$Q50</f>
        <v/>
      </c>
      <c r="C244" s="7" t="inlineStr">
        <is>
          <t>S1</t>
        </is>
      </c>
      <c r="D244" s="7" t="inlineStr">
        <is>
          <t>epic</t>
        </is>
      </c>
      <c r="E244" s="7">
        <f>Characters!$S50-"&amp;Characters!$Q50-"&amp;UPPER(LEFT("epic",1))</f>
        <v/>
      </c>
      <c r="F244" s="7">
        <f>IF(D244="legendary",1000,IF(D244="secret",100,""))</f>
        <v/>
      </c>
      <c r="G244" s="7" t="n">
        <v>0</v>
      </c>
      <c r="H244" s="7">
        <f>IF(D244="common",0,IF(D244="rare",1,IF(D244="epic",2,IF(D244="legendary",3,4))))</f>
        <v/>
      </c>
    </row>
    <row r="245">
      <c r="A245" s="7">
        <f>LOWER(Characters!$Q50)&amp;"-s1-legendary"</f>
        <v/>
      </c>
      <c r="B245" s="7">
        <f>Characters!$Q50</f>
        <v/>
      </c>
      <c r="C245" s="7" t="inlineStr">
        <is>
          <t>S1</t>
        </is>
      </c>
      <c r="D245" s="7" t="inlineStr">
        <is>
          <t>legendary</t>
        </is>
      </c>
      <c r="E245" s="7">
        <f>Characters!$S50-"&amp;Characters!$Q50-"&amp;UPPER(LEFT("legendary",1))</f>
        <v/>
      </c>
      <c r="F245" s="7">
        <f>IF(D245="legendary",1000,IF(D245="secret",100,""))</f>
        <v/>
      </c>
      <c r="G245" s="7" t="n">
        <v>0</v>
      </c>
      <c r="H245" s="7">
        <f>IF(D245="common",0,IF(D245="rare",1,IF(D245="epic",2,IF(D245="legendary",3,4))))</f>
        <v/>
      </c>
    </row>
    <row r="246">
      <c r="A246" s="7">
        <f>LOWER(Characters!$Q50)&amp;"-s1-secret"</f>
        <v/>
      </c>
      <c r="B246" s="7">
        <f>Characters!$Q50</f>
        <v/>
      </c>
      <c r="C246" s="7" t="inlineStr">
        <is>
          <t>S1</t>
        </is>
      </c>
      <c r="D246" s="7" t="inlineStr">
        <is>
          <t>secret</t>
        </is>
      </c>
      <c r="E246" s="7">
        <f>Characters!$S50-"&amp;Characters!$Q50-"&amp;UPPER(LEFT("secret",1))</f>
        <v/>
      </c>
      <c r="F246" s="7">
        <f>IF(D246="legendary",1000,IF(D246="secret",100,""))</f>
        <v/>
      </c>
      <c r="G246" s="7" t="n">
        <v>0</v>
      </c>
      <c r="H246" s="7">
        <f>IF(D246="common",0,IF(D246="rare",1,IF(D246="epic",2,IF(D246="legendary",3,4))))</f>
        <v/>
      </c>
    </row>
    <row r="247">
      <c r="A247" s="7">
        <f>LOWER(Characters!$Q51)&amp;"-s1-common"</f>
        <v/>
      </c>
      <c r="B247" s="7">
        <f>Characters!$Q51</f>
        <v/>
      </c>
      <c r="C247" s="7" t="inlineStr">
        <is>
          <t>S1</t>
        </is>
      </c>
      <c r="D247" s="7" t="inlineStr">
        <is>
          <t>common</t>
        </is>
      </c>
      <c r="E247" s="7">
        <f>Characters!$S51-"&amp;Characters!$Q51-"&amp;UPPER(LEFT("common",1))</f>
        <v/>
      </c>
      <c r="F247" s="7">
        <f>IF(D247="legendary",1000,IF(D247="secret",100,""))</f>
        <v/>
      </c>
      <c r="G247" s="7" t="n">
        <v>0</v>
      </c>
      <c r="H247" s="7">
        <f>IF(D247="common",0,IF(D247="rare",1,IF(D247="epic",2,IF(D247="legendary",3,4))))</f>
        <v/>
      </c>
    </row>
    <row r="248">
      <c r="A248" s="7">
        <f>LOWER(Characters!$Q51)&amp;"-s1-rare"</f>
        <v/>
      </c>
      <c r="B248" s="7">
        <f>Characters!$Q51</f>
        <v/>
      </c>
      <c r="C248" s="7" t="inlineStr">
        <is>
          <t>S1</t>
        </is>
      </c>
      <c r="D248" s="7" t="inlineStr">
        <is>
          <t>rare</t>
        </is>
      </c>
      <c r="E248" s="7">
        <f>Characters!$S51-"&amp;Characters!$Q51-"&amp;UPPER(LEFT("rare",1))</f>
        <v/>
      </c>
      <c r="F248" s="7">
        <f>IF(D248="legendary",1000,IF(D248="secret",100,""))</f>
        <v/>
      </c>
      <c r="G248" s="7" t="n">
        <v>0</v>
      </c>
      <c r="H248" s="7">
        <f>IF(D248="common",0,IF(D248="rare",1,IF(D248="epic",2,IF(D248="legendary",3,4))))</f>
        <v/>
      </c>
    </row>
    <row r="249">
      <c r="A249" s="7">
        <f>LOWER(Characters!$Q51)&amp;"-s1-epic"</f>
        <v/>
      </c>
      <c r="B249" s="7">
        <f>Characters!$Q51</f>
        <v/>
      </c>
      <c r="C249" s="7" t="inlineStr">
        <is>
          <t>S1</t>
        </is>
      </c>
      <c r="D249" s="7" t="inlineStr">
        <is>
          <t>epic</t>
        </is>
      </c>
      <c r="E249" s="7">
        <f>Characters!$S51-"&amp;Characters!$Q51-"&amp;UPPER(LEFT("epic",1))</f>
        <v/>
      </c>
      <c r="F249" s="7">
        <f>IF(D249="legendary",1000,IF(D249="secret",100,""))</f>
        <v/>
      </c>
      <c r="G249" s="7" t="n">
        <v>0</v>
      </c>
      <c r="H249" s="7">
        <f>IF(D249="common",0,IF(D249="rare",1,IF(D249="epic",2,IF(D249="legendary",3,4))))</f>
        <v/>
      </c>
    </row>
    <row r="250">
      <c r="A250" s="7">
        <f>LOWER(Characters!$Q51)&amp;"-s1-legendary"</f>
        <v/>
      </c>
      <c r="B250" s="7">
        <f>Characters!$Q51</f>
        <v/>
      </c>
      <c r="C250" s="7" t="inlineStr">
        <is>
          <t>S1</t>
        </is>
      </c>
      <c r="D250" s="7" t="inlineStr">
        <is>
          <t>legendary</t>
        </is>
      </c>
      <c r="E250" s="7">
        <f>Characters!$S51-"&amp;Characters!$Q51-"&amp;UPPER(LEFT("legendary",1))</f>
        <v/>
      </c>
      <c r="F250" s="7">
        <f>IF(D250="legendary",1000,IF(D250="secret",100,""))</f>
        <v/>
      </c>
      <c r="G250" s="7" t="n">
        <v>0</v>
      </c>
      <c r="H250" s="7">
        <f>IF(D250="common",0,IF(D250="rare",1,IF(D250="epic",2,IF(D250="legendary",3,4))))</f>
        <v/>
      </c>
    </row>
    <row r="251">
      <c r="A251" s="7">
        <f>LOWER(Characters!$Q51)&amp;"-s1-secret"</f>
        <v/>
      </c>
      <c r="B251" s="7">
        <f>Characters!$Q51</f>
        <v/>
      </c>
      <c r="C251" s="7" t="inlineStr">
        <is>
          <t>S1</t>
        </is>
      </c>
      <c r="D251" s="7" t="inlineStr">
        <is>
          <t>secret</t>
        </is>
      </c>
      <c r="E251" s="7">
        <f>Characters!$S51-"&amp;Characters!$Q51-"&amp;UPPER(LEFT("secret",1))</f>
        <v/>
      </c>
      <c r="F251" s="7">
        <f>IF(D251="legendary",1000,IF(D251="secret",100,""))</f>
        <v/>
      </c>
      <c r="G251" s="7" t="n">
        <v>0</v>
      </c>
      <c r="H251" s="7">
        <f>IF(D251="common",0,IF(D251="rare",1,IF(D251="epic",2,IF(D251="legendary",3,4))))</f>
        <v/>
      </c>
    </row>
    <row r="252">
      <c r="A252" s="7">
        <f>LOWER(Characters!$Q52)&amp;"-s1-common"</f>
        <v/>
      </c>
      <c r="B252" s="7">
        <f>Characters!$Q52</f>
        <v/>
      </c>
      <c r="C252" s="7" t="inlineStr">
        <is>
          <t>S1</t>
        </is>
      </c>
      <c r="D252" s="7" t="inlineStr">
        <is>
          <t>common</t>
        </is>
      </c>
      <c r="E252" s="7">
        <f>Characters!$S52-"&amp;Characters!$Q52-"&amp;UPPER(LEFT("common",1))</f>
        <v/>
      </c>
      <c r="F252" s="7">
        <f>IF(D252="legendary",1000,IF(D252="secret",100,""))</f>
        <v/>
      </c>
      <c r="G252" s="7" t="n">
        <v>0</v>
      </c>
      <c r="H252" s="7">
        <f>IF(D252="common",0,IF(D252="rare",1,IF(D252="epic",2,IF(D252="legendary",3,4))))</f>
        <v/>
      </c>
    </row>
    <row r="253">
      <c r="A253" s="7">
        <f>LOWER(Characters!$Q52)&amp;"-s1-rare"</f>
        <v/>
      </c>
      <c r="B253" s="7">
        <f>Characters!$Q52</f>
        <v/>
      </c>
      <c r="C253" s="7" t="inlineStr">
        <is>
          <t>S1</t>
        </is>
      </c>
      <c r="D253" s="7" t="inlineStr">
        <is>
          <t>rare</t>
        </is>
      </c>
      <c r="E253" s="7">
        <f>Characters!$S52-"&amp;Characters!$Q52-"&amp;UPPER(LEFT("rare",1))</f>
        <v/>
      </c>
      <c r="F253" s="7">
        <f>IF(D253="legendary",1000,IF(D253="secret",100,""))</f>
        <v/>
      </c>
      <c r="G253" s="7" t="n">
        <v>0</v>
      </c>
      <c r="H253" s="7">
        <f>IF(D253="common",0,IF(D253="rare",1,IF(D253="epic",2,IF(D253="legendary",3,4))))</f>
        <v/>
      </c>
    </row>
    <row r="254">
      <c r="A254" s="7">
        <f>LOWER(Characters!$Q52)&amp;"-s1-epic"</f>
        <v/>
      </c>
      <c r="B254" s="7">
        <f>Characters!$Q52</f>
        <v/>
      </c>
      <c r="C254" s="7" t="inlineStr">
        <is>
          <t>S1</t>
        </is>
      </c>
      <c r="D254" s="7" t="inlineStr">
        <is>
          <t>epic</t>
        </is>
      </c>
      <c r="E254" s="7">
        <f>Characters!$S52-"&amp;Characters!$Q52-"&amp;UPPER(LEFT("epic",1))</f>
        <v/>
      </c>
      <c r="F254" s="7">
        <f>IF(D254="legendary",1000,IF(D254="secret",100,""))</f>
        <v/>
      </c>
      <c r="G254" s="7" t="n">
        <v>0</v>
      </c>
      <c r="H254" s="7">
        <f>IF(D254="common",0,IF(D254="rare",1,IF(D254="epic",2,IF(D254="legendary",3,4))))</f>
        <v/>
      </c>
    </row>
    <row r="255">
      <c r="A255" s="7">
        <f>LOWER(Characters!$Q52)&amp;"-s1-legendary"</f>
        <v/>
      </c>
      <c r="B255" s="7">
        <f>Characters!$Q52</f>
        <v/>
      </c>
      <c r="C255" s="7" t="inlineStr">
        <is>
          <t>S1</t>
        </is>
      </c>
      <c r="D255" s="7" t="inlineStr">
        <is>
          <t>legendary</t>
        </is>
      </c>
      <c r="E255" s="7">
        <f>Characters!$S52-"&amp;Characters!$Q52-"&amp;UPPER(LEFT("legendary",1))</f>
        <v/>
      </c>
      <c r="F255" s="7">
        <f>IF(D255="legendary",1000,IF(D255="secret",100,""))</f>
        <v/>
      </c>
      <c r="G255" s="7" t="n">
        <v>0</v>
      </c>
      <c r="H255" s="7">
        <f>IF(D255="common",0,IF(D255="rare",1,IF(D255="epic",2,IF(D255="legendary",3,4))))</f>
        <v/>
      </c>
    </row>
    <row r="256">
      <c r="A256" s="7">
        <f>LOWER(Characters!$Q52)&amp;"-s1-secret"</f>
        <v/>
      </c>
      <c r="B256" s="7">
        <f>Characters!$Q52</f>
        <v/>
      </c>
      <c r="C256" s="7" t="inlineStr">
        <is>
          <t>S1</t>
        </is>
      </c>
      <c r="D256" s="7" t="inlineStr">
        <is>
          <t>secret</t>
        </is>
      </c>
      <c r="E256" s="7">
        <f>Characters!$S52-"&amp;Characters!$Q52-"&amp;UPPER(LEFT("secret",1))</f>
        <v/>
      </c>
      <c r="F256" s="7">
        <f>IF(D256="legendary",1000,IF(D256="secret",100,""))</f>
        <v/>
      </c>
      <c r="G256" s="7" t="n">
        <v>0</v>
      </c>
      <c r="H256" s="7">
        <f>IF(D256="common",0,IF(D256="rare",1,IF(D256="epic",2,IF(D256="legendary",3,4))))</f>
        <v/>
      </c>
    </row>
    <row r="257">
      <c r="A257" s="7">
        <f>LOWER(Characters!$Q53)&amp;"-s1-common"</f>
        <v/>
      </c>
      <c r="B257" s="7">
        <f>Characters!$Q53</f>
        <v/>
      </c>
      <c r="C257" s="7" t="inlineStr">
        <is>
          <t>S1</t>
        </is>
      </c>
      <c r="D257" s="7" t="inlineStr">
        <is>
          <t>common</t>
        </is>
      </c>
      <c r="E257" s="7">
        <f>Characters!$S53-"&amp;Characters!$Q53-"&amp;UPPER(LEFT("common",1))</f>
        <v/>
      </c>
      <c r="F257" s="7">
        <f>IF(D257="legendary",1000,IF(D257="secret",100,""))</f>
        <v/>
      </c>
      <c r="G257" s="7" t="n">
        <v>0</v>
      </c>
      <c r="H257" s="7">
        <f>IF(D257="common",0,IF(D257="rare",1,IF(D257="epic",2,IF(D257="legendary",3,4))))</f>
        <v/>
      </c>
    </row>
    <row r="258">
      <c r="A258" s="7">
        <f>LOWER(Characters!$Q53)&amp;"-s1-rare"</f>
        <v/>
      </c>
      <c r="B258" s="7">
        <f>Characters!$Q53</f>
        <v/>
      </c>
      <c r="C258" s="7" t="inlineStr">
        <is>
          <t>S1</t>
        </is>
      </c>
      <c r="D258" s="7" t="inlineStr">
        <is>
          <t>rare</t>
        </is>
      </c>
      <c r="E258" s="7">
        <f>Characters!$S53-"&amp;Characters!$Q53-"&amp;UPPER(LEFT("rare",1))</f>
        <v/>
      </c>
      <c r="F258" s="7">
        <f>IF(D258="legendary",1000,IF(D258="secret",100,""))</f>
        <v/>
      </c>
      <c r="G258" s="7" t="n">
        <v>0</v>
      </c>
      <c r="H258" s="7">
        <f>IF(D258="common",0,IF(D258="rare",1,IF(D258="epic",2,IF(D258="legendary",3,4))))</f>
        <v/>
      </c>
    </row>
    <row r="259">
      <c r="A259" s="7">
        <f>LOWER(Characters!$Q53)&amp;"-s1-epic"</f>
        <v/>
      </c>
      <c r="B259" s="7">
        <f>Characters!$Q53</f>
        <v/>
      </c>
      <c r="C259" s="7" t="inlineStr">
        <is>
          <t>S1</t>
        </is>
      </c>
      <c r="D259" s="7" t="inlineStr">
        <is>
          <t>epic</t>
        </is>
      </c>
      <c r="E259" s="7">
        <f>Characters!$S53-"&amp;Characters!$Q53-"&amp;UPPER(LEFT("epic",1))</f>
        <v/>
      </c>
      <c r="F259" s="7">
        <f>IF(D259="legendary",1000,IF(D259="secret",100,""))</f>
        <v/>
      </c>
      <c r="G259" s="7" t="n">
        <v>0</v>
      </c>
      <c r="H259" s="7">
        <f>IF(D259="common",0,IF(D259="rare",1,IF(D259="epic",2,IF(D259="legendary",3,4))))</f>
        <v/>
      </c>
    </row>
    <row r="260">
      <c r="A260" s="7">
        <f>LOWER(Characters!$Q53)&amp;"-s1-legendary"</f>
        <v/>
      </c>
      <c r="B260" s="7">
        <f>Characters!$Q53</f>
        <v/>
      </c>
      <c r="C260" s="7" t="inlineStr">
        <is>
          <t>S1</t>
        </is>
      </c>
      <c r="D260" s="7" t="inlineStr">
        <is>
          <t>legendary</t>
        </is>
      </c>
      <c r="E260" s="7">
        <f>Characters!$S53-"&amp;Characters!$Q53-"&amp;UPPER(LEFT("legendary",1))</f>
        <v/>
      </c>
      <c r="F260" s="7">
        <f>IF(D260="legendary",1000,IF(D260="secret",100,""))</f>
        <v/>
      </c>
      <c r="G260" s="7" t="n">
        <v>0</v>
      </c>
      <c r="H260" s="7">
        <f>IF(D260="common",0,IF(D260="rare",1,IF(D260="epic",2,IF(D260="legendary",3,4))))</f>
        <v/>
      </c>
    </row>
    <row r="261">
      <c r="A261" s="7">
        <f>LOWER(Characters!$Q53)&amp;"-s1-secret"</f>
        <v/>
      </c>
      <c r="B261" s="7">
        <f>Characters!$Q53</f>
        <v/>
      </c>
      <c r="C261" s="7" t="inlineStr">
        <is>
          <t>S1</t>
        </is>
      </c>
      <c r="D261" s="7" t="inlineStr">
        <is>
          <t>secret</t>
        </is>
      </c>
      <c r="E261" s="7">
        <f>Characters!$S53-"&amp;Characters!$Q53-"&amp;UPPER(LEFT("secret",1))</f>
        <v/>
      </c>
      <c r="F261" s="7">
        <f>IF(D261="legendary",1000,IF(D261="secret",100,""))</f>
        <v/>
      </c>
      <c r="G261" s="7" t="n">
        <v>0</v>
      </c>
      <c r="H261" s="7">
        <f>IF(D261="common",0,IF(D261="rare",1,IF(D261="epic",2,IF(D261="legendary",3,4))))</f>
        <v/>
      </c>
    </row>
    <row r="262">
      <c r="A262" s="7">
        <f>LOWER(Characters!$Q54)&amp;"-s1-common"</f>
        <v/>
      </c>
      <c r="B262" s="7">
        <f>Characters!$Q54</f>
        <v/>
      </c>
      <c r="C262" s="7" t="inlineStr">
        <is>
          <t>S1</t>
        </is>
      </c>
      <c r="D262" s="7" t="inlineStr">
        <is>
          <t>common</t>
        </is>
      </c>
      <c r="E262" s="7">
        <f>Characters!$S54-"&amp;Characters!$Q54-"&amp;UPPER(LEFT("common",1))</f>
        <v/>
      </c>
      <c r="F262" s="7">
        <f>IF(D262="legendary",1000,IF(D262="secret",100,""))</f>
        <v/>
      </c>
      <c r="G262" s="7" t="n">
        <v>0</v>
      </c>
      <c r="H262" s="7">
        <f>IF(D262="common",0,IF(D262="rare",1,IF(D262="epic",2,IF(D262="legendary",3,4))))</f>
        <v/>
      </c>
    </row>
    <row r="263">
      <c r="A263" s="7">
        <f>LOWER(Characters!$Q54)&amp;"-s1-rare"</f>
        <v/>
      </c>
      <c r="B263" s="7">
        <f>Characters!$Q54</f>
        <v/>
      </c>
      <c r="C263" s="7" t="inlineStr">
        <is>
          <t>S1</t>
        </is>
      </c>
      <c r="D263" s="7" t="inlineStr">
        <is>
          <t>rare</t>
        </is>
      </c>
      <c r="E263" s="7">
        <f>Characters!$S54-"&amp;Characters!$Q54-"&amp;UPPER(LEFT("rare",1))</f>
        <v/>
      </c>
      <c r="F263" s="7">
        <f>IF(D263="legendary",1000,IF(D263="secret",100,""))</f>
        <v/>
      </c>
      <c r="G263" s="7" t="n">
        <v>0</v>
      </c>
      <c r="H263" s="7">
        <f>IF(D263="common",0,IF(D263="rare",1,IF(D263="epic",2,IF(D263="legendary",3,4))))</f>
        <v/>
      </c>
    </row>
    <row r="264">
      <c r="A264" s="7">
        <f>LOWER(Characters!$Q54)&amp;"-s1-epic"</f>
        <v/>
      </c>
      <c r="B264" s="7">
        <f>Characters!$Q54</f>
        <v/>
      </c>
      <c r="C264" s="7" t="inlineStr">
        <is>
          <t>S1</t>
        </is>
      </c>
      <c r="D264" s="7" t="inlineStr">
        <is>
          <t>epic</t>
        </is>
      </c>
      <c r="E264" s="7">
        <f>Characters!$S54-"&amp;Characters!$Q54-"&amp;UPPER(LEFT("epic",1))</f>
        <v/>
      </c>
      <c r="F264" s="7">
        <f>IF(D264="legendary",1000,IF(D264="secret",100,""))</f>
        <v/>
      </c>
      <c r="G264" s="7" t="n">
        <v>0</v>
      </c>
      <c r="H264" s="7">
        <f>IF(D264="common",0,IF(D264="rare",1,IF(D264="epic",2,IF(D264="legendary",3,4))))</f>
        <v/>
      </c>
    </row>
    <row r="265">
      <c r="A265" s="7">
        <f>LOWER(Characters!$Q54)&amp;"-s1-legendary"</f>
        <v/>
      </c>
      <c r="B265" s="7">
        <f>Characters!$Q54</f>
        <v/>
      </c>
      <c r="C265" s="7" t="inlineStr">
        <is>
          <t>S1</t>
        </is>
      </c>
      <c r="D265" s="7" t="inlineStr">
        <is>
          <t>legendary</t>
        </is>
      </c>
      <c r="E265" s="7">
        <f>Characters!$S54-"&amp;Characters!$Q54-"&amp;UPPER(LEFT("legendary",1))</f>
        <v/>
      </c>
      <c r="F265" s="7">
        <f>IF(D265="legendary",1000,IF(D265="secret",100,""))</f>
        <v/>
      </c>
      <c r="G265" s="7" t="n">
        <v>0</v>
      </c>
      <c r="H265" s="7">
        <f>IF(D265="common",0,IF(D265="rare",1,IF(D265="epic",2,IF(D265="legendary",3,4))))</f>
        <v/>
      </c>
    </row>
    <row r="266">
      <c r="A266" s="7">
        <f>LOWER(Characters!$Q54)&amp;"-s1-secret"</f>
        <v/>
      </c>
      <c r="B266" s="7">
        <f>Characters!$Q54</f>
        <v/>
      </c>
      <c r="C266" s="7" t="inlineStr">
        <is>
          <t>S1</t>
        </is>
      </c>
      <c r="D266" s="7" t="inlineStr">
        <is>
          <t>secret</t>
        </is>
      </c>
      <c r="E266" s="7">
        <f>Characters!$S54-"&amp;Characters!$Q54-"&amp;UPPER(LEFT("secret",1))</f>
        <v/>
      </c>
      <c r="F266" s="7">
        <f>IF(D266="legendary",1000,IF(D266="secret",100,""))</f>
        <v/>
      </c>
      <c r="G266" s="7" t="n">
        <v>0</v>
      </c>
      <c r="H266" s="7">
        <f>IF(D266="common",0,IF(D266="rare",1,IF(D266="epic",2,IF(D266="legendary",3,4))))</f>
        <v/>
      </c>
    </row>
    <row r="267">
      <c r="A267" s="7">
        <f>LOWER(Characters!$Q55)&amp;"-s1-common"</f>
        <v/>
      </c>
      <c r="B267" s="7">
        <f>Characters!$Q55</f>
        <v/>
      </c>
      <c r="C267" s="7" t="inlineStr">
        <is>
          <t>S1</t>
        </is>
      </c>
      <c r="D267" s="7" t="inlineStr">
        <is>
          <t>common</t>
        </is>
      </c>
      <c r="E267" s="7">
        <f>Characters!$S55-"&amp;Characters!$Q55-"&amp;UPPER(LEFT("common",1))</f>
        <v/>
      </c>
      <c r="F267" s="7">
        <f>IF(D267="legendary",1000,IF(D267="secret",100,""))</f>
        <v/>
      </c>
      <c r="G267" s="7" t="n">
        <v>0</v>
      </c>
      <c r="H267" s="7">
        <f>IF(D267="common",0,IF(D267="rare",1,IF(D267="epic",2,IF(D267="legendary",3,4))))</f>
        <v/>
      </c>
    </row>
    <row r="268">
      <c r="A268" s="7">
        <f>LOWER(Characters!$Q55)&amp;"-s1-rare"</f>
        <v/>
      </c>
      <c r="B268" s="7">
        <f>Characters!$Q55</f>
        <v/>
      </c>
      <c r="C268" s="7" t="inlineStr">
        <is>
          <t>S1</t>
        </is>
      </c>
      <c r="D268" s="7" t="inlineStr">
        <is>
          <t>rare</t>
        </is>
      </c>
      <c r="E268" s="7">
        <f>Characters!$S55-"&amp;Characters!$Q55-"&amp;UPPER(LEFT("rare",1))</f>
        <v/>
      </c>
      <c r="F268" s="7">
        <f>IF(D268="legendary",1000,IF(D268="secret",100,""))</f>
        <v/>
      </c>
      <c r="G268" s="7" t="n">
        <v>0</v>
      </c>
      <c r="H268" s="7">
        <f>IF(D268="common",0,IF(D268="rare",1,IF(D268="epic",2,IF(D268="legendary",3,4))))</f>
        <v/>
      </c>
    </row>
    <row r="269">
      <c r="A269" s="7">
        <f>LOWER(Characters!$Q55)&amp;"-s1-epic"</f>
        <v/>
      </c>
      <c r="B269" s="7">
        <f>Characters!$Q55</f>
        <v/>
      </c>
      <c r="C269" s="7" t="inlineStr">
        <is>
          <t>S1</t>
        </is>
      </c>
      <c r="D269" s="7" t="inlineStr">
        <is>
          <t>epic</t>
        </is>
      </c>
      <c r="E269" s="7">
        <f>Characters!$S55-"&amp;Characters!$Q55-"&amp;UPPER(LEFT("epic",1))</f>
        <v/>
      </c>
      <c r="F269" s="7">
        <f>IF(D269="legendary",1000,IF(D269="secret",100,""))</f>
        <v/>
      </c>
      <c r="G269" s="7" t="n">
        <v>0</v>
      </c>
      <c r="H269" s="7">
        <f>IF(D269="common",0,IF(D269="rare",1,IF(D269="epic",2,IF(D269="legendary",3,4))))</f>
        <v/>
      </c>
    </row>
    <row r="270">
      <c r="A270" s="7">
        <f>LOWER(Characters!$Q55)&amp;"-s1-legendary"</f>
        <v/>
      </c>
      <c r="B270" s="7">
        <f>Characters!$Q55</f>
        <v/>
      </c>
      <c r="C270" s="7" t="inlineStr">
        <is>
          <t>S1</t>
        </is>
      </c>
      <c r="D270" s="7" t="inlineStr">
        <is>
          <t>legendary</t>
        </is>
      </c>
      <c r="E270" s="7">
        <f>Characters!$S55-"&amp;Characters!$Q55-"&amp;UPPER(LEFT("legendary",1))</f>
        <v/>
      </c>
      <c r="F270" s="7">
        <f>IF(D270="legendary",1000,IF(D270="secret",100,""))</f>
        <v/>
      </c>
      <c r="G270" s="7" t="n">
        <v>0</v>
      </c>
      <c r="H270" s="7">
        <f>IF(D270="common",0,IF(D270="rare",1,IF(D270="epic",2,IF(D270="legendary",3,4))))</f>
        <v/>
      </c>
    </row>
    <row r="271">
      <c r="A271" s="7">
        <f>LOWER(Characters!$Q55)&amp;"-s1-secret"</f>
        <v/>
      </c>
      <c r="B271" s="7">
        <f>Characters!$Q55</f>
        <v/>
      </c>
      <c r="C271" s="7" t="inlineStr">
        <is>
          <t>S1</t>
        </is>
      </c>
      <c r="D271" s="7" t="inlineStr">
        <is>
          <t>secret</t>
        </is>
      </c>
      <c r="E271" s="7">
        <f>Characters!$S55-"&amp;Characters!$Q55-"&amp;UPPER(LEFT("secret",1))</f>
        <v/>
      </c>
      <c r="F271" s="7">
        <f>IF(D271="legendary",1000,IF(D271="secret",100,""))</f>
        <v/>
      </c>
      <c r="G271" s="7" t="n">
        <v>0</v>
      </c>
      <c r="H271" s="7">
        <f>IF(D271="common",0,IF(D271="rare",1,IF(D271="epic",2,IF(D271="legendary",3,4))))</f>
        <v/>
      </c>
    </row>
    <row r="272">
      <c r="A272" s="7">
        <f>LOWER(Characters!$Q56)&amp;"-s1-common"</f>
        <v/>
      </c>
      <c r="B272" s="7">
        <f>Characters!$Q56</f>
        <v/>
      </c>
      <c r="C272" s="7" t="inlineStr">
        <is>
          <t>S1</t>
        </is>
      </c>
      <c r="D272" s="7" t="inlineStr">
        <is>
          <t>common</t>
        </is>
      </c>
      <c r="E272" s="7">
        <f>Characters!$S56-"&amp;Characters!$Q56-"&amp;UPPER(LEFT("common",1))</f>
        <v/>
      </c>
      <c r="F272" s="7">
        <f>IF(D272="legendary",1000,IF(D272="secret",100,""))</f>
        <v/>
      </c>
      <c r="G272" s="7" t="n">
        <v>0</v>
      </c>
      <c r="H272" s="7">
        <f>IF(D272="common",0,IF(D272="rare",1,IF(D272="epic",2,IF(D272="legendary",3,4))))</f>
        <v/>
      </c>
    </row>
    <row r="273">
      <c r="A273" s="7">
        <f>LOWER(Characters!$Q56)&amp;"-s1-rare"</f>
        <v/>
      </c>
      <c r="B273" s="7">
        <f>Characters!$Q56</f>
        <v/>
      </c>
      <c r="C273" s="7" t="inlineStr">
        <is>
          <t>S1</t>
        </is>
      </c>
      <c r="D273" s="7" t="inlineStr">
        <is>
          <t>rare</t>
        </is>
      </c>
      <c r="E273" s="7">
        <f>Characters!$S56-"&amp;Characters!$Q56-"&amp;UPPER(LEFT("rare",1))</f>
        <v/>
      </c>
      <c r="F273" s="7">
        <f>IF(D273="legendary",1000,IF(D273="secret",100,""))</f>
        <v/>
      </c>
      <c r="G273" s="7" t="n">
        <v>0</v>
      </c>
      <c r="H273" s="7">
        <f>IF(D273="common",0,IF(D273="rare",1,IF(D273="epic",2,IF(D273="legendary",3,4))))</f>
        <v/>
      </c>
    </row>
    <row r="274">
      <c r="A274" s="7">
        <f>LOWER(Characters!$Q56)&amp;"-s1-epic"</f>
        <v/>
      </c>
      <c r="B274" s="7">
        <f>Characters!$Q56</f>
        <v/>
      </c>
      <c r="C274" s="7" t="inlineStr">
        <is>
          <t>S1</t>
        </is>
      </c>
      <c r="D274" s="7" t="inlineStr">
        <is>
          <t>epic</t>
        </is>
      </c>
      <c r="E274" s="7">
        <f>Characters!$S56-"&amp;Characters!$Q56-"&amp;UPPER(LEFT("epic",1))</f>
        <v/>
      </c>
      <c r="F274" s="7">
        <f>IF(D274="legendary",1000,IF(D274="secret",100,""))</f>
        <v/>
      </c>
      <c r="G274" s="7" t="n">
        <v>0</v>
      </c>
      <c r="H274" s="7">
        <f>IF(D274="common",0,IF(D274="rare",1,IF(D274="epic",2,IF(D274="legendary",3,4))))</f>
        <v/>
      </c>
    </row>
    <row r="275">
      <c r="A275" s="7">
        <f>LOWER(Characters!$Q56)&amp;"-s1-legendary"</f>
        <v/>
      </c>
      <c r="B275" s="7">
        <f>Characters!$Q56</f>
        <v/>
      </c>
      <c r="C275" s="7" t="inlineStr">
        <is>
          <t>S1</t>
        </is>
      </c>
      <c r="D275" s="7" t="inlineStr">
        <is>
          <t>legendary</t>
        </is>
      </c>
      <c r="E275" s="7">
        <f>Characters!$S56-"&amp;Characters!$Q56-"&amp;UPPER(LEFT("legendary",1))</f>
        <v/>
      </c>
      <c r="F275" s="7">
        <f>IF(D275="legendary",1000,IF(D275="secret",100,""))</f>
        <v/>
      </c>
      <c r="G275" s="7" t="n">
        <v>0</v>
      </c>
      <c r="H275" s="7">
        <f>IF(D275="common",0,IF(D275="rare",1,IF(D275="epic",2,IF(D275="legendary",3,4))))</f>
        <v/>
      </c>
    </row>
    <row r="276">
      <c r="A276" s="7">
        <f>LOWER(Characters!$Q56)&amp;"-s1-secret"</f>
        <v/>
      </c>
      <c r="B276" s="7">
        <f>Characters!$Q56</f>
        <v/>
      </c>
      <c r="C276" s="7" t="inlineStr">
        <is>
          <t>S1</t>
        </is>
      </c>
      <c r="D276" s="7" t="inlineStr">
        <is>
          <t>secret</t>
        </is>
      </c>
      <c r="E276" s="7">
        <f>Characters!$S56-"&amp;Characters!$Q56-"&amp;UPPER(LEFT("secret",1))</f>
        <v/>
      </c>
      <c r="F276" s="7">
        <f>IF(D276="legendary",1000,IF(D276="secret",100,""))</f>
        <v/>
      </c>
      <c r="G276" s="7" t="n">
        <v>0</v>
      </c>
      <c r="H276" s="7">
        <f>IF(D276="common",0,IF(D276="rare",1,IF(D276="epic",2,IF(D276="legendary",3,4))))</f>
        <v/>
      </c>
    </row>
    <row r="277">
      <c r="A277" s="7">
        <f>LOWER(Characters!$Q57)&amp;"-s1-common"</f>
        <v/>
      </c>
      <c r="B277" s="7">
        <f>Characters!$Q57</f>
        <v/>
      </c>
      <c r="C277" s="7" t="inlineStr">
        <is>
          <t>S1</t>
        </is>
      </c>
      <c r="D277" s="7" t="inlineStr">
        <is>
          <t>common</t>
        </is>
      </c>
      <c r="E277" s="7">
        <f>Characters!$S57-"&amp;Characters!$Q57-"&amp;UPPER(LEFT("common",1))</f>
        <v/>
      </c>
      <c r="F277" s="7">
        <f>IF(D277="legendary",1000,IF(D277="secret",100,""))</f>
        <v/>
      </c>
      <c r="G277" s="7" t="n">
        <v>0</v>
      </c>
      <c r="H277" s="7">
        <f>IF(D277="common",0,IF(D277="rare",1,IF(D277="epic",2,IF(D277="legendary",3,4))))</f>
        <v/>
      </c>
    </row>
    <row r="278">
      <c r="A278" s="7">
        <f>LOWER(Characters!$Q57)&amp;"-s1-rare"</f>
        <v/>
      </c>
      <c r="B278" s="7">
        <f>Characters!$Q57</f>
        <v/>
      </c>
      <c r="C278" s="7" t="inlineStr">
        <is>
          <t>S1</t>
        </is>
      </c>
      <c r="D278" s="7" t="inlineStr">
        <is>
          <t>rare</t>
        </is>
      </c>
      <c r="E278" s="7">
        <f>Characters!$S57-"&amp;Characters!$Q57-"&amp;UPPER(LEFT("rare",1))</f>
        <v/>
      </c>
      <c r="F278" s="7">
        <f>IF(D278="legendary",1000,IF(D278="secret",100,""))</f>
        <v/>
      </c>
      <c r="G278" s="7" t="n">
        <v>0</v>
      </c>
      <c r="H278" s="7">
        <f>IF(D278="common",0,IF(D278="rare",1,IF(D278="epic",2,IF(D278="legendary",3,4))))</f>
        <v/>
      </c>
    </row>
    <row r="279">
      <c r="A279" s="7">
        <f>LOWER(Characters!$Q57)&amp;"-s1-epic"</f>
        <v/>
      </c>
      <c r="B279" s="7">
        <f>Characters!$Q57</f>
        <v/>
      </c>
      <c r="C279" s="7" t="inlineStr">
        <is>
          <t>S1</t>
        </is>
      </c>
      <c r="D279" s="7" t="inlineStr">
        <is>
          <t>epic</t>
        </is>
      </c>
      <c r="E279" s="7">
        <f>Characters!$S57-"&amp;Characters!$Q57-"&amp;UPPER(LEFT("epic",1))</f>
        <v/>
      </c>
      <c r="F279" s="7">
        <f>IF(D279="legendary",1000,IF(D279="secret",100,""))</f>
        <v/>
      </c>
      <c r="G279" s="7" t="n">
        <v>0</v>
      </c>
      <c r="H279" s="7">
        <f>IF(D279="common",0,IF(D279="rare",1,IF(D279="epic",2,IF(D279="legendary",3,4))))</f>
        <v/>
      </c>
    </row>
    <row r="280">
      <c r="A280" s="7">
        <f>LOWER(Characters!$Q57)&amp;"-s1-legendary"</f>
        <v/>
      </c>
      <c r="B280" s="7">
        <f>Characters!$Q57</f>
        <v/>
      </c>
      <c r="C280" s="7" t="inlineStr">
        <is>
          <t>S1</t>
        </is>
      </c>
      <c r="D280" s="7" t="inlineStr">
        <is>
          <t>legendary</t>
        </is>
      </c>
      <c r="E280" s="7">
        <f>Characters!$S57-"&amp;Characters!$Q57-"&amp;UPPER(LEFT("legendary",1))</f>
        <v/>
      </c>
      <c r="F280" s="7">
        <f>IF(D280="legendary",1000,IF(D280="secret",100,""))</f>
        <v/>
      </c>
      <c r="G280" s="7" t="n">
        <v>0</v>
      </c>
      <c r="H280" s="7">
        <f>IF(D280="common",0,IF(D280="rare",1,IF(D280="epic",2,IF(D280="legendary",3,4))))</f>
        <v/>
      </c>
    </row>
    <row r="281">
      <c r="A281" s="7">
        <f>LOWER(Characters!$Q57)&amp;"-s1-secret"</f>
        <v/>
      </c>
      <c r="B281" s="7">
        <f>Characters!$Q57</f>
        <v/>
      </c>
      <c r="C281" s="7" t="inlineStr">
        <is>
          <t>S1</t>
        </is>
      </c>
      <c r="D281" s="7" t="inlineStr">
        <is>
          <t>secret</t>
        </is>
      </c>
      <c r="E281" s="7">
        <f>Characters!$S57-"&amp;Characters!$Q57-"&amp;UPPER(LEFT("secret",1))</f>
        <v/>
      </c>
      <c r="F281" s="7">
        <f>IF(D281="legendary",1000,IF(D281="secret",100,""))</f>
        <v/>
      </c>
      <c r="G281" s="7" t="n">
        <v>0</v>
      </c>
      <c r="H281" s="7">
        <f>IF(D281="common",0,IF(D281="rare",1,IF(D281="epic",2,IF(D281="legendary",3,4))))</f>
        <v/>
      </c>
    </row>
    <row r="282">
      <c r="A282" s="7">
        <f>LOWER(Characters!$Q58)&amp;"-s1-common"</f>
        <v/>
      </c>
      <c r="B282" s="7">
        <f>Characters!$Q58</f>
        <v/>
      </c>
      <c r="C282" s="7" t="inlineStr">
        <is>
          <t>S1</t>
        </is>
      </c>
      <c r="D282" s="7" t="inlineStr">
        <is>
          <t>common</t>
        </is>
      </c>
      <c r="E282" s="7">
        <f>Characters!$S58-"&amp;Characters!$Q58-"&amp;UPPER(LEFT("common",1))</f>
        <v/>
      </c>
      <c r="F282" s="7">
        <f>IF(D282="legendary",1000,IF(D282="secret",100,""))</f>
        <v/>
      </c>
      <c r="G282" s="7" t="n">
        <v>0</v>
      </c>
      <c r="H282" s="7">
        <f>IF(D282="common",0,IF(D282="rare",1,IF(D282="epic",2,IF(D282="legendary",3,4))))</f>
        <v/>
      </c>
    </row>
    <row r="283">
      <c r="A283" s="7">
        <f>LOWER(Characters!$Q58)&amp;"-s1-rare"</f>
        <v/>
      </c>
      <c r="B283" s="7">
        <f>Characters!$Q58</f>
        <v/>
      </c>
      <c r="C283" s="7" t="inlineStr">
        <is>
          <t>S1</t>
        </is>
      </c>
      <c r="D283" s="7" t="inlineStr">
        <is>
          <t>rare</t>
        </is>
      </c>
      <c r="E283" s="7">
        <f>Characters!$S58-"&amp;Characters!$Q58-"&amp;UPPER(LEFT("rare",1))</f>
        <v/>
      </c>
      <c r="F283" s="7">
        <f>IF(D283="legendary",1000,IF(D283="secret",100,""))</f>
        <v/>
      </c>
      <c r="G283" s="7" t="n">
        <v>0</v>
      </c>
      <c r="H283" s="7">
        <f>IF(D283="common",0,IF(D283="rare",1,IF(D283="epic",2,IF(D283="legendary",3,4))))</f>
        <v/>
      </c>
    </row>
    <row r="284">
      <c r="A284" s="7">
        <f>LOWER(Characters!$Q58)&amp;"-s1-epic"</f>
        <v/>
      </c>
      <c r="B284" s="7">
        <f>Characters!$Q58</f>
        <v/>
      </c>
      <c r="C284" s="7" t="inlineStr">
        <is>
          <t>S1</t>
        </is>
      </c>
      <c r="D284" s="7" t="inlineStr">
        <is>
          <t>epic</t>
        </is>
      </c>
      <c r="E284" s="7">
        <f>Characters!$S58-"&amp;Characters!$Q58-"&amp;UPPER(LEFT("epic",1))</f>
        <v/>
      </c>
      <c r="F284" s="7">
        <f>IF(D284="legendary",1000,IF(D284="secret",100,""))</f>
        <v/>
      </c>
      <c r="G284" s="7" t="n">
        <v>0</v>
      </c>
      <c r="H284" s="7">
        <f>IF(D284="common",0,IF(D284="rare",1,IF(D284="epic",2,IF(D284="legendary",3,4))))</f>
        <v/>
      </c>
    </row>
    <row r="285">
      <c r="A285" s="7">
        <f>LOWER(Characters!$Q58)&amp;"-s1-legendary"</f>
        <v/>
      </c>
      <c r="B285" s="7">
        <f>Characters!$Q58</f>
        <v/>
      </c>
      <c r="C285" s="7" t="inlineStr">
        <is>
          <t>S1</t>
        </is>
      </c>
      <c r="D285" s="7" t="inlineStr">
        <is>
          <t>legendary</t>
        </is>
      </c>
      <c r="E285" s="7">
        <f>Characters!$S58-"&amp;Characters!$Q58-"&amp;UPPER(LEFT("legendary",1))</f>
        <v/>
      </c>
      <c r="F285" s="7">
        <f>IF(D285="legendary",1000,IF(D285="secret",100,""))</f>
        <v/>
      </c>
      <c r="G285" s="7" t="n">
        <v>0</v>
      </c>
      <c r="H285" s="7">
        <f>IF(D285="common",0,IF(D285="rare",1,IF(D285="epic",2,IF(D285="legendary",3,4))))</f>
        <v/>
      </c>
    </row>
    <row r="286">
      <c r="A286" s="7">
        <f>LOWER(Characters!$Q58)&amp;"-s1-secret"</f>
        <v/>
      </c>
      <c r="B286" s="7">
        <f>Characters!$Q58</f>
        <v/>
      </c>
      <c r="C286" s="7" t="inlineStr">
        <is>
          <t>S1</t>
        </is>
      </c>
      <c r="D286" s="7" t="inlineStr">
        <is>
          <t>secret</t>
        </is>
      </c>
      <c r="E286" s="7">
        <f>Characters!$S58-"&amp;Characters!$Q58-"&amp;UPPER(LEFT("secret",1))</f>
        <v/>
      </c>
      <c r="F286" s="7">
        <f>IF(D286="legendary",1000,IF(D286="secret",100,""))</f>
        <v/>
      </c>
      <c r="G286" s="7" t="n">
        <v>0</v>
      </c>
      <c r="H286" s="7">
        <f>IF(D286="common",0,IF(D286="rare",1,IF(D286="epic",2,IF(D286="legendary",3,4))))</f>
        <v/>
      </c>
    </row>
    <row r="287">
      <c r="A287" s="7">
        <f>LOWER(Characters!$Q59)&amp;"-s1-common"</f>
        <v/>
      </c>
      <c r="B287" s="7">
        <f>Characters!$Q59</f>
        <v/>
      </c>
      <c r="C287" s="7" t="inlineStr">
        <is>
          <t>S1</t>
        </is>
      </c>
      <c r="D287" s="7" t="inlineStr">
        <is>
          <t>common</t>
        </is>
      </c>
      <c r="E287" s="7">
        <f>Characters!$S59-"&amp;Characters!$Q59-"&amp;UPPER(LEFT("common",1))</f>
        <v/>
      </c>
      <c r="F287" s="7">
        <f>IF(D287="legendary",1000,IF(D287="secret",100,""))</f>
        <v/>
      </c>
      <c r="G287" s="7" t="n">
        <v>0</v>
      </c>
      <c r="H287" s="7">
        <f>IF(D287="common",0,IF(D287="rare",1,IF(D287="epic",2,IF(D287="legendary",3,4))))</f>
        <v/>
      </c>
    </row>
    <row r="288">
      <c r="A288" s="7">
        <f>LOWER(Characters!$Q59)&amp;"-s1-rare"</f>
        <v/>
      </c>
      <c r="B288" s="7">
        <f>Characters!$Q59</f>
        <v/>
      </c>
      <c r="C288" s="7" t="inlineStr">
        <is>
          <t>S1</t>
        </is>
      </c>
      <c r="D288" s="7" t="inlineStr">
        <is>
          <t>rare</t>
        </is>
      </c>
      <c r="E288" s="7">
        <f>Characters!$S59-"&amp;Characters!$Q59-"&amp;UPPER(LEFT("rare",1))</f>
        <v/>
      </c>
      <c r="F288" s="7">
        <f>IF(D288="legendary",1000,IF(D288="secret",100,""))</f>
        <v/>
      </c>
      <c r="G288" s="7" t="n">
        <v>0</v>
      </c>
      <c r="H288" s="7">
        <f>IF(D288="common",0,IF(D288="rare",1,IF(D288="epic",2,IF(D288="legendary",3,4))))</f>
        <v/>
      </c>
    </row>
    <row r="289">
      <c r="A289" s="7">
        <f>LOWER(Characters!$Q59)&amp;"-s1-epic"</f>
        <v/>
      </c>
      <c r="B289" s="7">
        <f>Characters!$Q59</f>
        <v/>
      </c>
      <c r="C289" s="7" t="inlineStr">
        <is>
          <t>S1</t>
        </is>
      </c>
      <c r="D289" s="7" t="inlineStr">
        <is>
          <t>epic</t>
        </is>
      </c>
      <c r="E289" s="7">
        <f>Characters!$S59-"&amp;Characters!$Q59-"&amp;UPPER(LEFT("epic",1))</f>
        <v/>
      </c>
      <c r="F289" s="7">
        <f>IF(D289="legendary",1000,IF(D289="secret",100,""))</f>
        <v/>
      </c>
      <c r="G289" s="7" t="n">
        <v>0</v>
      </c>
      <c r="H289" s="7">
        <f>IF(D289="common",0,IF(D289="rare",1,IF(D289="epic",2,IF(D289="legendary",3,4))))</f>
        <v/>
      </c>
    </row>
    <row r="290">
      <c r="A290" s="7">
        <f>LOWER(Characters!$Q59)&amp;"-s1-legendary"</f>
        <v/>
      </c>
      <c r="B290" s="7">
        <f>Characters!$Q59</f>
        <v/>
      </c>
      <c r="C290" s="7" t="inlineStr">
        <is>
          <t>S1</t>
        </is>
      </c>
      <c r="D290" s="7" t="inlineStr">
        <is>
          <t>legendary</t>
        </is>
      </c>
      <c r="E290" s="7">
        <f>Characters!$S59-"&amp;Characters!$Q59-"&amp;UPPER(LEFT("legendary",1))</f>
        <v/>
      </c>
      <c r="F290" s="7">
        <f>IF(D290="legendary",1000,IF(D290="secret",100,""))</f>
        <v/>
      </c>
      <c r="G290" s="7" t="n">
        <v>0</v>
      </c>
      <c r="H290" s="7">
        <f>IF(D290="common",0,IF(D290="rare",1,IF(D290="epic",2,IF(D290="legendary",3,4))))</f>
        <v/>
      </c>
    </row>
    <row r="291">
      <c r="A291" s="7">
        <f>LOWER(Characters!$Q59)&amp;"-s1-secret"</f>
        <v/>
      </c>
      <c r="B291" s="7">
        <f>Characters!$Q59</f>
        <v/>
      </c>
      <c r="C291" s="7" t="inlineStr">
        <is>
          <t>S1</t>
        </is>
      </c>
      <c r="D291" s="7" t="inlineStr">
        <is>
          <t>secret</t>
        </is>
      </c>
      <c r="E291" s="7">
        <f>Characters!$S59-"&amp;Characters!$Q59-"&amp;UPPER(LEFT("secret",1))</f>
        <v/>
      </c>
      <c r="F291" s="7">
        <f>IF(D291="legendary",1000,IF(D291="secret",100,""))</f>
        <v/>
      </c>
      <c r="G291" s="7" t="n">
        <v>0</v>
      </c>
      <c r="H291" s="7">
        <f>IF(D291="common",0,IF(D291="rare",1,IF(D291="epic",2,IF(D291="legendary",3,4))))</f>
        <v/>
      </c>
    </row>
    <row r="292">
      <c r="A292" s="7">
        <f>LOWER(Characters!$Q60)&amp;"-s1-common"</f>
        <v/>
      </c>
      <c r="B292" s="7">
        <f>Characters!$Q60</f>
        <v/>
      </c>
      <c r="C292" s="7" t="inlineStr">
        <is>
          <t>S1</t>
        </is>
      </c>
      <c r="D292" s="7" t="inlineStr">
        <is>
          <t>common</t>
        </is>
      </c>
      <c r="E292" s="7">
        <f>Characters!$S60-"&amp;Characters!$Q60-"&amp;UPPER(LEFT("common",1))</f>
        <v/>
      </c>
      <c r="F292" s="7">
        <f>IF(D292="legendary",1000,IF(D292="secret",100,""))</f>
        <v/>
      </c>
      <c r="G292" s="7" t="n">
        <v>0</v>
      </c>
      <c r="H292" s="7">
        <f>IF(D292="common",0,IF(D292="rare",1,IF(D292="epic",2,IF(D292="legendary",3,4))))</f>
        <v/>
      </c>
    </row>
    <row r="293">
      <c r="A293" s="7">
        <f>LOWER(Characters!$Q60)&amp;"-s1-rare"</f>
        <v/>
      </c>
      <c r="B293" s="7">
        <f>Characters!$Q60</f>
        <v/>
      </c>
      <c r="C293" s="7" t="inlineStr">
        <is>
          <t>S1</t>
        </is>
      </c>
      <c r="D293" s="7" t="inlineStr">
        <is>
          <t>rare</t>
        </is>
      </c>
      <c r="E293" s="7">
        <f>Characters!$S60-"&amp;Characters!$Q60-"&amp;UPPER(LEFT("rare",1))</f>
        <v/>
      </c>
      <c r="F293" s="7">
        <f>IF(D293="legendary",1000,IF(D293="secret",100,""))</f>
        <v/>
      </c>
      <c r="G293" s="7" t="n">
        <v>0</v>
      </c>
      <c r="H293" s="7">
        <f>IF(D293="common",0,IF(D293="rare",1,IF(D293="epic",2,IF(D293="legendary",3,4))))</f>
        <v/>
      </c>
    </row>
    <row r="294">
      <c r="A294" s="7">
        <f>LOWER(Characters!$Q60)&amp;"-s1-epic"</f>
        <v/>
      </c>
      <c r="B294" s="7">
        <f>Characters!$Q60</f>
        <v/>
      </c>
      <c r="C294" s="7" t="inlineStr">
        <is>
          <t>S1</t>
        </is>
      </c>
      <c r="D294" s="7" t="inlineStr">
        <is>
          <t>epic</t>
        </is>
      </c>
      <c r="E294" s="7">
        <f>Characters!$S60-"&amp;Characters!$Q60-"&amp;UPPER(LEFT("epic",1))</f>
        <v/>
      </c>
      <c r="F294" s="7">
        <f>IF(D294="legendary",1000,IF(D294="secret",100,""))</f>
        <v/>
      </c>
      <c r="G294" s="7" t="n">
        <v>0</v>
      </c>
      <c r="H294" s="7">
        <f>IF(D294="common",0,IF(D294="rare",1,IF(D294="epic",2,IF(D294="legendary",3,4))))</f>
        <v/>
      </c>
    </row>
    <row r="295">
      <c r="A295" s="7">
        <f>LOWER(Characters!$Q60)&amp;"-s1-legendary"</f>
        <v/>
      </c>
      <c r="B295" s="7">
        <f>Characters!$Q60</f>
        <v/>
      </c>
      <c r="C295" s="7" t="inlineStr">
        <is>
          <t>S1</t>
        </is>
      </c>
      <c r="D295" s="7" t="inlineStr">
        <is>
          <t>legendary</t>
        </is>
      </c>
      <c r="E295" s="7">
        <f>Characters!$S60-"&amp;Characters!$Q60-"&amp;UPPER(LEFT("legendary",1))</f>
        <v/>
      </c>
      <c r="F295" s="7">
        <f>IF(D295="legendary",1000,IF(D295="secret",100,""))</f>
        <v/>
      </c>
      <c r="G295" s="7" t="n">
        <v>0</v>
      </c>
      <c r="H295" s="7">
        <f>IF(D295="common",0,IF(D295="rare",1,IF(D295="epic",2,IF(D295="legendary",3,4))))</f>
        <v/>
      </c>
    </row>
    <row r="296">
      <c r="A296" s="7">
        <f>LOWER(Characters!$Q60)&amp;"-s1-secret"</f>
        <v/>
      </c>
      <c r="B296" s="7">
        <f>Characters!$Q60</f>
        <v/>
      </c>
      <c r="C296" s="7" t="inlineStr">
        <is>
          <t>S1</t>
        </is>
      </c>
      <c r="D296" s="7" t="inlineStr">
        <is>
          <t>secret</t>
        </is>
      </c>
      <c r="E296" s="7">
        <f>Characters!$S60-"&amp;Characters!$Q60-"&amp;UPPER(LEFT("secret",1))</f>
        <v/>
      </c>
      <c r="F296" s="7">
        <f>IF(D296="legendary",1000,IF(D296="secret",100,""))</f>
        <v/>
      </c>
      <c r="G296" s="7" t="n">
        <v>0</v>
      </c>
      <c r="H296" s="7">
        <f>IF(D296="common",0,IF(D296="rare",1,IF(D296="epic",2,IF(D296="legendary",3,4))))</f>
        <v/>
      </c>
    </row>
    <row r="297">
      <c r="A297" s="7">
        <f>LOWER(Characters!$Q61)&amp;"-s1-common"</f>
        <v/>
      </c>
      <c r="B297" s="7">
        <f>Characters!$Q61</f>
        <v/>
      </c>
      <c r="C297" s="7" t="inlineStr">
        <is>
          <t>S1</t>
        </is>
      </c>
      <c r="D297" s="7" t="inlineStr">
        <is>
          <t>common</t>
        </is>
      </c>
      <c r="E297" s="7">
        <f>Characters!$S61-"&amp;Characters!$Q61-"&amp;UPPER(LEFT("common",1))</f>
        <v/>
      </c>
      <c r="F297" s="7">
        <f>IF(D297="legendary",1000,IF(D297="secret",100,""))</f>
        <v/>
      </c>
      <c r="G297" s="7" t="n">
        <v>0</v>
      </c>
      <c r="H297" s="7">
        <f>IF(D297="common",0,IF(D297="rare",1,IF(D297="epic",2,IF(D297="legendary",3,4))))</f>
        <v/>
      </c>
    </row>
    <row r="298">
      <c r="A298" s="7">
        <f>LOWER(Characters!$Q61)&amp;"-s1-rare"</f>
        <v/>
      </c>
      <c r="B298" s="7">
        <f>Characters!$Q61</f>
        <v/>
      </c>
      <c r="C298" s="7" t="inlineStr">
        <is>
          <t>S1</t>
        </is>
      </c>
      <c r="D298" s="7" t="inlineStr">
        <is>
          <t>rare</t>
        </is>
      </c>
      <c r="E298" s="7">
        <f>Characters!$S61-"&amp;Characters!$Q61-"&amp;UPPER(LEFT("rare",1))</f>
        <v/>
      </c>
      <c r="F298" s="7">
        <f>IF(D298="legendary",1000,IF(D298="secret",100,""))</f>
        <v/>
      </c>
      <c r="G298" s="7" t="n">
        <v>0</v>
      </c>
      <c r="H298" s="7">
        <f>IF(D298="common",0,IF(D298="rare",1,IF(D298="epic",2,IF(D298="legendary",3,4))))</f>
        <v/>
      </c>
    </row>
    <row r="299">
      <c r="A299" s="7">
        <f>LOWER(Characters!$Q61)&amp;"-s1-epic"</f>
        <v/>
      </c>
      <c r="B299" s="7">
        <f>Characters!$Q61</f>
        <v/>
      </c>
      <c r="C299" s="7" t="inlineStr">
        <is>
          <t>S1</t>
        </is>
      </c>
      <c r="D299" s="7" t="inlineStr">
        <is>
          <t>epic</t>
        </is>
      </c>
      <c r="E299" s="7">
        <f>Characters!$S61-"&amp;Characters!$Q61-"&amp;UPPER(LEFT("epic",1))</f>
        <v/>
      </c>
      <c r="F299" s="7">
        <f>IF(D299="legendary",1000,IF(D299="secret",100,""))</f>
        <v/>
      </c>
      <c r="G299" s="7" t="n">
        <v>0</v>
      </c>
      <c r="H299" s="7">
        <f>IF(D299="common",0,IF(D299="rare",1,IF(D299="epic",2,IF(D299="legendary",3,4))))</f>
        <v/>
      </c>
    </row>
    <row r="300">
      <c r="A300" s="7">
        <f>LOWER(Characters!$Q61)&amp;"-s1-legendary"</f>
        <v/>
      </c>
      <c r="B300" s="7">
        <f>Characters!$Q61</f>
        <v/>
      </c>
      <c r="C300" s="7" t="inlineStr">
        <is>
          <t>S1</t>
        </is>
      </c>
      <c r="D300" s="7" t="inlineStr">
        <is>
          <t>legendary</t>
        </is>
      </c>
      <c r="E300" s="7">
        <f>Characters!$S61-"&amp;Characters!$Q61-"&amp;UPPER(LEFT("legendary",1))</f>
        <v/>
      </c>
      <c r="F300" s="7">
        <f>IF(D300="legendary",1000,IF(D300="secret",100,""))</f>
        <v/>
      </c>
      <c r="G300" s="7" t="n">
        <v>0</v>
      </c>
      <c r="H300" s="7">
        <f>IF(D300="common",0,IF(D300="rare",1,IF(D300="epic",2,IF(D300="legendary",3,4))))</f>
        <v/>
      </c>
    </row>
    <row r="301">
      <c r="A301" s="7">
        <f>LOWER(Characters!$Q61)&amp;"-s1-secret"</f>
        <v/>
      </c>
      <c r="B301" s="7">
        <f>Characters!$Q61</f>
        <v/>
      </c>
      <c r="C301" s="7" t="inlineStr">
        <is>
          <t>S1</t>
        </is>
      </c>
      <c r="D301" s="7" t="inlineStr">
        <is>
          <t>secret</t>
        </is>
      </c>
      <c r="E301" s="7">
        <f>Characters!$S61-"&amp;Characters!$Q61-"&amp;UPPER(LEFT("secret",1))</f>
        <v/>
      </c>
      <c r="F301" s="7">
        <f>IF(D301="legendary",1000,IF(D301="secret",100,""))</f>
        <v/>
      </c>
      <c r="G301" s="7" t="n">
        <v>0</v>
      </c>
      <c r="H301" s="7">
        <f>IF(D301="common",0,IF(D301="rare",1,IF(D301="epic",2,IF(D301="legendary",3,4))))</f>
        <v/>
      </c>
    </row>
    <row r="302">
      <c r="A302" s="7">
        <f>LOWER(Characters!$Q62)&amp;"-s1-common"</f>
        <v/>
      </c>
      <c r="B302" s="7">
        <f>Characters!$Q62</f>
        <v/>
      </c>
      <c r="C302" s="7" t="inlineStr">
        <is>
          <t>S1</t>
        </is>
      </c>
      <c r="D302" s="7" t="inlineStr">
        <is>
          <t>common</t>
        </is>
      </c>
      <c r="E302" s="7">
        <f>Characters!$S62-"&amp;Characters!$Q62-"&amp;UPPER(LEFT("common",1))</f>
        <v/>
      </c>
      <c r="F302" s="7">
        <f>IF(D302="legendary",1000,IF(D302="secret",100,""))</f>
        <v/>
      </c>
      <c r="G302" s="7" t="n">
        <v>0</v>
      </c>
      <c r="H302" s="7">
        <f>IF(D302="common",0,IF(D302="rare",1,IF(D302="epic",2,IF(D302="legendary",3,4))))</f>
        <v/>
      </c>
    </row>
    <row r="303">
      <c r="A303" s="7">
        <f>LOWER(Characters!$Q62)&amp;"-s1-rare"</f>
        <v/>
      </c>
      <c r="B303" s="7">
        <f>Characters!$Q62</f>
        <v/>
      </c>
      <c r="C303" s="7" t="inlineStr">
        <is>
          <t>S1</t>
        </is>
      </c>
      <c r="D303" s="7" t="inlineStr">
        <is>
          <t>rare</t>
        </is>
      </c>
      <c r="E303" s="7">
        <f>Characters!$S62-"&amp;Characters!$Q62-"&amp;UPPER(LEFT("rare",1))</f>
        <v/>
      </c>
      <c r="F303" s="7">
        <f>IF(D303="legendary",1000,IF(D303="secret",100,""))</f>
        <v/>
      </c>
      <c r="G303" s="7" t="n">
        <v>0</v>
      </c>
      <c r="H303" s="7">
        <f>IF(D303="common",0,IF(D303="rare",1,IF(D303="epic",2,IF(D303="legendary",3,4))))</f>
        <v/>
      </c>
    </row>
    <row r="304">
      <c r="A304" s="7">
        <f>LOWER(Characters!$Q62)&amp;"-s1-epic"</f>
        <v/>
      </c>
      <c r="B304" s="7">
        <f>Characters!$Q62</f>
        <v/>
      </c>
      <c r="C304" s="7" t="inlineStr">
        <is>
          <t>S1</t>
        </is>
      </c>
      <c r="D304" s="7" t="inlineStr">
        <is>
          <t>epic</t>
        </is>
      </c>
      <c r="E304" s="7">
        <f>Characters!$S62-"&amp;Characters!$Q62-"&amp;UPPER(LEFT("epic",1))</f>
        <v/>
      </c>
      <c r="F304" s="7">
        <f>IF(D304="legendary",1000,IF(D304="secret",100,""))</f>
        <v/>
      </c>
      <c r="G304" s="7" t="n">
        <v>0</v>
      </c>
      <c r="H304" s="7">
        <f>IF(D304="common",0,IF(D304="rare",1,IF(D304="epic",2,IF(D304="legendary",3,4))))</f>
        <v/>
      </c>
    </row>
    <row r="305">
      <c r="A305" s="7">
        <f>LOWER(Characters!$Q62)&amp;"-s1-legendary"</f>
        <v/>
      </c>
      <c r="B305" s="7">
        <f>Characters!$Q62</f>
        <v/>
      </c>
      <c r="C305" s="7" t="inlineStr">
        <is>
          <t>S1</t>
        </is>
      </c>
      <c r="D305" s="7" t="inlineStr">
        <is>
          <t>legendary</t>
        </is>
      </c>
      <c r="E305" s="7">
        <f>Characters!$S62-"&amp;Characters!$Q62-"&amp;UPPER(LEFT("legendary",1))</f>
        <v/>
      </c>
      <c r="F305" s="7">
        <f>IF(D305="legendary",1000,IF(D305="secret",100,""))</f>
        <v/>
      </c>
      <c r="G305" s="7" t="n">
        <v>0</v>
      </c>
      <c r="H305" s="7">
        <f>IF(D305="common",0,IF(D305="rare",1,IF(D305="epic",2,IF(D305="legendary",3,4))))</f>
        <v/>
      </c>
    </row>
    <row r="306">
      <c r="A306" s="7">
        <f>LOWER(Characters!$Q62)&amp;"-s1-secret"</f>
        <v/>
      </c>
      <c r="B306" s="7">
        <f>Characters!$Q62</f>
        <v/>
      </c>
      <c r="C306" s="7" t="inlineStr">
        <is>
          <t>S1</t>
        </is>
      </c>
      <c r="D306" s="7" t="inlineStr">
        <is>
          <t>secret</t>
        </is>
      </c>
      <c r="E306" s="7">
        <f>Characters!$S62-"&amp;Characters!$Q62-"&amp;UPPER(LEFT("secret",1))</f>
        <v/>
      </c>
      <c r="F306" s="7">
        <f>IF(D306="legendary",1000,IF(D306="secret",100,""))</f>
        <v/>
      </c>
      <c r="G306" s="7" t="n">
        <v>0</v>
      </c>
      <c r="H306" s="7">
        <f>IF(D306="common",0,IF(D306="rare",1,IF(D306="epic",2,IF(D306="legendary",3,4))))</f>
        <v/>
      </c>
    </row>
    <row r="307">
      <c r="A307" s="7">
        <f>LOWER(Characters!$Q63)&amp;"-s1-common"</f>
        <v/>
      </c>
      <c r="B307" s="7">
        <f>Characters!$Q63</f>
        <v/>
      </c>
      <c r="C307" s="7" t="inlineStr">
        <is>
          <t>S1</t>
        </is>
      </c>
      <c r="D307" s="7" t="inlineStr">
        <is>
          <t>common</t>
        </is>
      </c>
      <c r="E307" s="7">
        <f>Characters!$S63-"&amp;Characters!$Q63-"&amp;UPPER(LEFT("common",1))</f>
        <v/>
      </c>
      <c r="F307" s="7">
        <f>IF(D307="legendary",1000,IF(D307="secret",100,""))</f>
        <v/>
      </c>
      <c r="G307" s="7" t="n">
        <v>0</v>
      </c>
      <c r="H307" s="7">
        <f>IF(D307="common",0,IF(D307="rare",1,IF(D307="epic",2,IF(D307="legendary",3,4))))</f>
        <v/>
      </c>
    </row>
    <row r="308">
      <c r="A308" s="7">
        <f>LOWER(Characters!$Q63)&amp;"-s1-rare"</f>
        <v/>
      </c>
      <c r="B308" s="7">
        <f>Characters!$Q63</f>
        <v/>
      </c>
      <c r="C308" s="7" t="inlineStr">
        <is>
          <t>S1</t>
        </is>
      </c>
      <c r="D308" s="7" t="inlineStr">
        <is>
          <t>rare</t>
        </is>
      </c>
      <c r="E308" s="7">
        <f>Characters!$S63-"&amp;Characters!$Q63-"&amp;UPPER(LEFT("rare",1))</f>
        <v/>
      </c>
      <c r="F308" s="7">
        <f>IF(D308="legendary",1000,IF(D308="secret",100,""))</f>
        <v/>
      </c>
      <c r="G308" s="7" t="n">
        <v>0</v>
      </c>
      <c r="H308" s="7">
        <f>IF(D308="common",0,IF(D308="rare",1,IF(D308="epic",2,IF(D308="legendary",3,4))))</f>
        <v/>
      </c>
    </row>
    <row r="309">
      <c r="A309" s="7">
        <f>LOWER(Characters!$Q63)&amp;"-s1-epic"</f>
        <v/>
      </c>
      <c r="B309" s="7">
        <f>Characters!$Q63</f>
        <v/>
      </c>
      <c r="C309" s="7" t="inlineStr">
        <is>
          <t>S1</t>
        </is>
      </c>
      <c r="D309" s="7" t="inlineStr">
        <is>
          <t>epic</t>
        </is>
      </c>
      <c r="E309" s="7">
        <f>Characters!$S63-"&amp;Characters!$Q63-"&amp;UPPER(LEFT("epic",1))</f>
        <v/>
      </c>
      <c r="F309" s="7">
        <f>IF(D309="legendary",1000,IF(D309="secret",100,""))</f>
        <v/>
      </c>
      <c r="G309" s="7" t="n">
        <v>0</v>
      </c>
      <c r="H309" s="7">
        <f>IF(D309="common",0,IF(D309="rare",1,IF(D309="epic",2,IF(D309="legendary",3,4))))</f>
        <v/>
      </c>
    </row>
    <row r="310">
      <c r="A310" s="7">
        <f>LOWER(Characters!$Q63)&amp;"-s1-legendary"</f>
        <v/>
      </c>
      <c r="B310" s="7">
        <f>Characters!$Q63</f>
        <v/>
      </c>
      <c r="C310" s="7" t="inlineStr">
        <is>
          <t>S1</t>
        </is>
      </c>
      <c r="D310" s="7" t="inlineStr">
        <is>
          <t>legendary</t>
        </is>
      </c>
      <c r="E310" s="7">
        <f>Characters!$S63-"&amp;Characters!$Q63-"&amp;UPPER(LEFT("legendary",1))</f>
        <v/>
      </c>
      <c r="F310" s="7">
        <f>IF(D310="legendary",1000,IF(D310="secret",100,""))</f>
        <v/>
      </c>
      <c r="G310" s="7" t="n">
        <v>0</v>
      </c>
      <c r="H310" s="7">
        <f>IF(D310="common",0,IF(D310="rare",1,IF(D310="epic",2,IF(D310="legendary",3,4))))</f>
        <v/>
      </c>
    </row>
    <row r="311">
      <c r="A311" s="7">
        <f>LOWER(Characters!$Q63)&amp;"-s1-secret"</f>
        <v/>
      </c>
      <c r="B311" s="7">
        <f>Characters!$Q63</f>
        <v/>
      </c>
      <c r="C311" s="7" t="inlineStr">
        <is>
          <t>S1</t>
        </is>
      </c>
      <c r="D311" s="7" t="inlineStr">
        <is>
          <t>secret</t>
        </is>
      </c>
      <c r="E311" s="7">
        <f>Characters!$S63-"&amp;Characters!$Q63-"&amp;UPPER(LEFT("secret",1))</f>
        <v/>
      </c>
      <c r="F311" s="7">
        <f>IF(D311="legendary",1000,IF(D311="secret",100,""))</f>
        <v/>
      </c>
      <c r="G311" s="7" t="n">
        <v>0</v>
      </c>
      <c r="H311" s="7">
        <f>IF(D311="common",0,IF(D311="rare",1,IF(D311="epic",2,IF(D311="legendary",3,4))))</f>
        <v/>
      </c>
    </row>
    <row r="312">
      <c r="A312" s="7">
        <f>LOWER(Characters!$Q64)&amp;"-s1-common"</f>
        <v/>
      </c>
      <c r="B312" s="7">
        <f>Characters!$Q64</f>
        <v/>
      </c>
      <c r="C312" s="7" t="inlineStr">
        <is>
          <t>S1</t>
        </is>
      </c>
      <c r="D312" s="7" t="inlineStr">
        <is>
          <t>common</t>
        </is>
      </c>
      <c r="E312" s="7">
        <f>Characters!$S64-"&amp;Characters!$Q64-"&amp;UPPER(LEFT("common",1))</f>
        <v/>
      </c>
      <c r="F312" s="7">
        <f>IF(D312="legendary",1000,IF(D312="secret",100,""))</f>
        <v/>
      </c>
      <c r="G312" s="7" t="n">
        <v>0</v>
      </c>
      <c r="H312" s="7">
        <f>IF(D312="common",0,IF(D312="rare",1,IF(D312="epic",2,IF(D312="legendary",3,4))))</f>
        <v/>
      </c>
    </row>
    <row r="313">
      <c r="A313" s="7">
        <f>LOWER(Characters!$Q64)&amp;"-s1-rare"</f>
        <v/>
      </c>
      <c r="B313" s="7">
        <f>Characters!$Q64</f>
        <v/>
      </c>
      <c r="C313" s="7" t="inlineStr">
        <is>
          <t>S1</t>
        </is>
      </c>
      <c r="D313" s="7" t="inlineStr">
        <is>
          <t>rare</t>
        </is>
      </c>
      <c r="E313" s="7">
        <f>Characters!$S64-"&amp;Characters!$Q64-"&amp;UPPER(LEFT("rare",1))</f>
        <v/>
      </c>
      <c r="F313" s="7">
        <f>IF(D313="legendary",1000,IF(D313="secret",100,""))</f>
        <v/>
      </c>
      <c r="G313" s="7" t="n">
        <v>0</v>
      </c>
      <c r="H313" s="7">
        <f>IF(D313="common",0,IF(D313="rare",1,IF(D313="epic",2,IF(D313="legendary",3,4))))</f>
        <v/>
      </c>
    </row>
    <row r="314">
      <c r="A314" s="7">
        <f>LOWER(Characters!$Q64)&amp;"-s1-epic"</f>
        <v/>
      </c>
      <c r="B314" s="7">
        <f>Characters!$Q64</f>
        <v/>
      </c>
      <c r="C314" s="7" t="inlineStr">
        <is>
          <t>S1</t>
        </is>
      </c>
      <c r="D314" s="7" t="inlineStr">
        <is>
          <t>epic</t>
        </is>
      </c>
      <c r="E314" s="7">
        <f>Characters!$S64-"&amp;Characters!$Q64-"&amp;UPPER(LEFT("epic",1))</f>
        <v/>
      </c>
      <c r="F314" s="7">
        <f>IF(D314="legendary",1000,IF(D314="secret",100,""))</f>
        <v/>
      </c>
      <c r="G314" s="7" t="n">
        <v>0</v>
      </c>
      <c r="H314" s="7">
        <f>IF(D314="common",0,IF(D314="rare",1,IF(D314="epic",2,IF(D314="legendary",3,4))))</f>
        <v/>
      </c>
    </row>
    <row r="315">
      <c r="A315" s="7">
        <f>LOWER(Characters!$Q64)&amp;"-s1-legendary"</f>
        <v/>
      </c>
      <c r="B315" s="7">
        <f>Characters!$Q64</f>
        <v/>
      </c>
      <c r="C315" s="7" t="inlineStr">
        <is>
          <t>S1</t>
        </is>
      </c>
      <c r="D315" s="7" t="inlineStr">
        <is>
          <t>legendary</t>
        </is>
      </c>
      <c r="E315" s="7">
        <f>Characters!$S64-"&amp;Characters!$Q64-"&amp;UPPER(LEFT("legendary",1))</f>
        <v/>
      </c>
      <c r="F315" s="7">
        <f>IF(D315="legendary",1000,IF(D315="secret",100,""))</f>
        <v/>
      </c>
      <c r="G315" s="7" t="n">
        <v>0</v>
      </c>
      <c r="H315" s="7">
        <f>IF(D315="common",0,IF(D315="rare",1,IF(D315="epic",2,IF(D315="legendary",3,4))))</f>
        <v/>
      </c>
    </row>
    <row r="316">
      <c r="A316" s="7">
        <f>LOWER(Characters!$Q64)&amp;"-s1-secret"</f>
        <v/>
      </c>
      <c r="B316" s="7">
        <f>Characters!$Q64</f>
        <v/>
      </c>
      <c r="C316" s="7" t="inlineStr">
        <is>
          <t>S1</t>
        </is>
      </c>
      <c r="D316" s="7" t="inlineStr">
        <is>
          <t>secret</t>
        </is>
      </c>
      <c r="E316" s="7">
        <f>Characters!$S64-"&amp;Characters!$Q64-"&amp;UPPER(LEFT("secret",1))</f>
        <v/>
      </c>
      <c r="F316" s="7">
        <f>IF(D316="legendary",1000,IF(D316="secret",100,""))</f>
        <v/>
      </c>
      <c r="G316" s="7" t="n">
        <v>0</v>
      </c>
      <c r="H316" s="7">
        <f>IF(D316="common",0,IF(D316="rare",1,IF(D316="epic",2,IF(D316="legendary",3,4))))</f>
        <v/>
      </c>
    </row>
    <row r="317">
      <c r="A317" s="7">
        <f>LOWER(Characters!$Q65)&amp;"-s1-common"</f>
        <v/>
      </c>
      <c r="B317" s="7">
        <f>Characters!$Q65</f>
        <v/>
      </c>
      <c r="C317" s="7" t="inlineStr">
        <is>
          <t>S1</t>
        </is>
      </c>
      <c r="D317" s="7" t="inlineStr">
        <is>
          <t>common</t>
        </is>
      </c>
      <c r="E317" s="7">
        <f>Characters!$S65-"&amp;Characters!$Q65-"&amp;UPPER(LEFT("common",1))</f>
        <v/>
      </c>
      <c r="F317" s="7">
        <f>IF(D317="legendary",1000,IF(D317="secret",100,""))</f>
        <v/>
      </c>
      <c r="G317" s="7" t="n">
        <v>0</v>
      </c>
      <c r="H317" s="7">
        <f>IF(D317="common",0,IF(D317="rare",1,IF(D317="epic",2,IF(D317="legendary",3,4))))</f>
        <v/>
      </c>
    </row>
    <row r="318">
      <c r="A318" s="7">
        <f>LOWER(Characters!$Q65)&amp;"-s1-rare"</f>
        <v/>
      </c>
      <c r="B318" s="7">
        <f>Characters!$Q65</f>
        <v/>
      </c>
      <c r="C318" s="7" t="inlineStr">
        <is>
          <t>S1</t>
        </is>
      </c>
      <c r="D318" s="7" t="inlineStr">
        <is>
          <t>rare</t>
        </is>
      </c>
      <c r="E318" s="7">
        <f>Characters!$S65-"&amp;Characters!$Q65-"&amp;UPPER(LEFT("rare",1))</f>
        <v/>
      </c>
      <c r="F318" s="7">
        <f>IF(D318="legendary",1000,IF(D318="secret",100,""))</f>
        <v/>
      </c>
      <c r="G318" s="7" t="n">
        <v>0</v>
      </c>
      <c r="H318" s="7">
        <f>IF(D318="common",0,IF(D318="rare",1,IF(D318="epic",2,IF(D318="legendary",3,4))))</f>
        <v/>
      </c>
    </row>
    <row r="319">
      <c r="A319" s="7">
        <f>LOWER(Characters!$Q65)&amp;"-s1-epic"</f>
        <v/>
      </c>
      <c r="B319" s="7">
        <f>Characters!$Q65</f>
        <v/>
      </c>
      <c r="C319" s="7" t="inlineStr">
        <is>
          <t>S1</t>
        </is>
      </c>
      <c r="D319" s="7" t="inlineStr">
        <is>
          <t>epic</t>
        </is>
      </c>
      <c r="E319" s="7">
        <f>Characters!$S65-"&amp;Characters!$Q65-"&amp;UPPER(LEFT("epic",1))</f>
        <v/>
      </c>
      <c r="F319" s="7">
        <f>IF(D319="legendary",1000,IF(D319="secret",100,""))</f>
        <v/>
      </c>
      <c r="G319" s="7" t="n">
        <v>0</v>
      </c>
      <c r="H319" s="7">
        <f>IF(D319="common",0,IF(D319="rare",1,IF(D319="epic",2,IF(D319="legendary",3,4))))</f>
        <v/>
      </c>
    </row>
    <row r="320">
      <c r="A320" s="7">
        <f>LOWER(Characters!$Q65)&amp;"-s1-legendary"</f>
        <v/>
      </c>
      <c r="B320" s="7">
        <f>Characters!$Q65</f>
        <v/>
      </c>
      <c r="C320" s="7" t="inlineStr">
        <is>
          <t>S1</t>
        </is>
      </c>
      <c r="D320" s="7" t="inlineStr">
        <is>
          <t>legendary</t>
        </is>
      </c>
      <c r="E320" s="7">
        <f>Characters!$S65-"&amp;Characters!$Q65-"&amp;UPPER(LEFT("legendary",1))</f>
        <v/>
      </c>
      <c r="F320" s="7">
        <f>IF(D320="legendary",1000,IF(D320="secret",100,""))</f>
        <v/>
      </c>
      <c r="G320" s="7" t="n">
        <v>0</v>
      </c>
      <c r="H320" s="7">
        <f>IF(D320="common",0,IF(D320="rare",1,IF(D320="epic",2,IF(D320="legendary",3,4))))</f>
        <v/>
      </c>
    </row>
    <row r="321">
      <c r="A321" s="7">
        <f>LOWER(Characters!$Q65)&amp;"-s1-secret"</f>
        <v/>
      </c>
      <c r="B321" s="7">
        <f>Characters!$Q65</f>
        <v/>
      </c>
      <c r="C321" s="7" t="inlineStr">
        <is>
          <t>S1</t>
        </is>
      </c>
      <c r="D321" s="7" t="inlineStr">
        <is>
          <t>secret</t>
        </is>
      </c>
      <c r="E321" s="7">
        <f>Characters!$S65-"&amp;Characters!$Q65-"&amp;UPPER(LEFT("secret",1))</f>
        <v/>
      </c>
      <c r="F321" s="7">
        <f>IF(D321="legendary",1000,IF(D321="secret",100,""))</f>
        <v/>
      </c>
      <c r="G321" s="7" t="n">
        <v>0</v>
      </c>
      <c r="H321" s="7">
        <f>IF(D321="common",0,IF(D321="rare",1,IF(D321="epic",2,IF(D321="legendary",3,4))))</f>
        <v/>
      </c>
    </row>
    <row r="322">
      <c r="A322" s="7">
        <f>LOWER(Characters!$Q66)&amp;"-s1-common"</f>
        <v/>
      </c>
      <c r="B322" s="7">
        <f>Characters!$Q66</f>
        <v/>
      </c>
      <c r="C322" s="7" t="inlineStr">
        <is>
          <t>S1</t>
        </is>
      </c>
      <c r="D322" s="7" t="inlineStr">
        <is>
          <t>common</t>
        </is>
      </c>
      <c r="E322" s="7">
        <f>Characters!$S66-"&amp;Characters!$Q66-"&amp;UPPER(LEFT("common",1))</f>
        <v/>
      </c>
      <c r="F322" s="7">
        <f>IF(D322="legendary",1000,IF(D322="secret",100,""))</f>
        <v/>
      </c>
      <c r="G322" s="7" t="n">
        <v>0</v>
      </c>
      <c r="H322" s="7">
        <f>IF(D322="common",0,IF(D322="rare",1,IF(D322="epic",2,IF(D322="legendary",3,4))))</f>
        <v/>
      </c>
    </row>
    <row r="323">
      <c r="A323" s="7">
        <f>LOWER(Characters!$Q66)&amp;"-s1-rare"</f>
        <v/>
      </c>
      <c r="B323" s="7">
        <f>Characters!$Q66</f>
        <v/>
      </c>
      <c r="C323" s="7" t="inlineStr">
        <is>
          <t>S1</t>
        </is>
      </c>
      <c r="D323" s="7" t="inlineStr">
        <is>
          <t>rare</t>
        </is>
      </c>
      <c r="E323" s="7">
        <f>Characters!$S66-"&amp;Characters!$Q66-"&amp;UPPER(LEFT("rare",1))</f>
        <v/>
      </c>
      <c r="F323" s="7">
        <f>IF(D323="legendary",1000,IF(D323="secret",100,""))</f>
        <v/>
      </c>
      <c r="G323" s="7" t="n">
        <v>0</v>
      </c>
      <c r="H323" s="7">
        <f>IF(D323="common",0,IF(D323="rare",1,IF(D323="epic",2,IF(D323="legendary",3,4))))</f>
        <v/>
      </c>
    </row>
    <row r="324">
      <c r="A324" s="7">
        <f>LOWER(Characters!$Q66)&amp;"-s1-epic"</f>
        <v/>
      </c>
      <c r="B324" s="7">
        <f>Characters!$Q66</f>
        <v/>
      </c>
      <c r="C324" s="7" t="inlineStr">
        <is>
          <t>S1</t>
        </is>
      </c>
      <c r="D324" s="7" t="inlineStr">
        <is>
          <t>epic</t>
        </is>
      </c>
      <c r="E324" s="7">
        <f>Characters!$S66-"&amp;Characters!$Q66-"&amp;UPPER(LEFT("epic",1))</f>
        <v/>
      </c>
      <c r="F324" s="7">
        <f>IF(D324="legendary",1000,IF(D324="secret",100,""))</f>
        <v/>
      </c>
      <c r="G324" s="7" t="n">
        <v>0</v>
      </c>
      <c r="H324" s="7">
        <f>IF(D324="common",0,IF(D324="rare",1,IF(D324="epic",2,IF(D324="legendary",3,4))))</f>
        <v/>
      </c>
    </row>
    <row r="325">
      <c r="A325" s="7">
        <f>LOWER(Characters!$Q66)&amp;"-s1-legendary"</f>
        <v/>
      </c>
      <c r="B325" s="7">
        <f>Characters!$Q66</f>
        <v/>
      </c>
      <c r="C325" s="7" t="inlineStr">
        <is>
          <t>S1</t>
        </is>
      </c>
      <c r="D325" s="7" t="inlineStr">
        <is>
          <t>legendary</t>
        </is>
      </c>
      <c r="E325" s="7">
        <f>Characters!$S66-"&amp;Characters!$Q66-"&amp;UPPER(LEFT("legendary",1))</f>
        <v/>
      </c>
      <c r="F325" s="7">
        <f>IF(D325="legendary",1000,IF(D325="secret",100,""))</f>
        <v/>
      </c>
      <c r="G325" s="7" t="n">
        <v>0</v>
      </c>
      <c r="H325" s="7">
        <f>IF(D325="common",0,IF(D325="rare",1,IF(D325="epic",2,IF(D325="legendary",3,4))))</f>
        <v/>
      </c>
    </row>
    <row r="326">
      <c r="A326" s="7">
        <f>LOWER(Characters!$Q66)&amp;"-s1-secret"</f>
        <v/>
      </c>
      <c r="B326" s="7">
        <f>Characters!$Q66</f>
        <v/>
      </c>
      <c r="C326" s="7" t="inlineStr">
        <is>
          <t>S1</t>
        </is>
      </c>
      <c r="D326" s="7" t="inlineStr">
        <is>
          <t>secret</t>
        </is>
      </c>
      <c r="E326" s="7">
        <f>Characters!$S66-"&amp;Characters!$Q66-"&amp;UPPER(LEFT("secret",1))</f>
        <v/>
      </c>
      <c r="F326" s="7">
        <f>IF(D326="legendary",1000,IF(D326="secret",100,""))</f>
        <v/>
      </c>
      <c r="G326" s="7" t="n">
        <v>0</v>
      </c>
      <c r="H326" s="7">
        <f>IF(D326="common",0,IF(D326="rare",1,IF(D326="epic",2,IF(D326="legendary",3,4))))</f>
        <v/>
      </c>
    </row>
    <row r="327">
      <c r="A327" s="7">
        <f>LOWER(Characters!$Q67)&amp;"-s1-common"</f>
        <v/>
      </c>
      <c r="B327" s="7">
        <f>Characters!$Q67</f>
        <v/>
      </c>
      <c r="C327" s="7" t="inlineStr">
        <is>
          <t>S1</t>
        </is>
      </c>
      <c r="D327" s="7" t="inlineStr">
        <is>
          <t>common</t>
        </is>
      </c>
      <c r="E327" s="7">
        <f>Characters!$S67-"&amp;Characters!$Q67-"&amp;UPPER(LEFT("common",1))</f>
        <v/>
      </c>
      <c r="F327" s="7">
        <f>IF(D327="legendary",1000,IF(D327="secret",100,""))</f>
        <v/>
      </c>
      <c r="G327" s="7" t="n">
        <v>0</v>
      </c>
      <c r="H327" s="7">
        <f>IF(D327="common",0,IF(D327="rare",1,IF(D327="epic",2,IF(D327="legendary",3,4))))</f>
        <v/>
      </c>
    </row>
    <row r="328">
      <c r="A328" s="7">
        <f>LOWER(Characters!$Q67)&amp;"-s1-rare"</f>
        <v/>
      </c>
      <c r="B328" s="7">
        <f>Characters!$Q67</f>
        <v/>
      </c>
      <c r="C328" s="7" t="inlineStr">
        <is>
          <t>S1</t>
        </is>
      </c>
      <c r="D328" s="7" t="inlineStr">
        <is>
          <t>rare</t>
        </is>
      </c>
      <c r="E328" s="7">
        <f>Characters!$S67-"&amp;Characters!$Q67-"&amp;UPPER(LEFT("rare",1))</f>
        <v/>
      </c>
      <c r="F328" s="7">
        <f>IF(D328="legendary",1000,IF(D328="secret",100,""))</f>
        <v/>
      </c>
      <c r="G328" s="7" t="n">
        <v>0</v>
      </c>
      <c r="H328" s="7">
        <f>IF(D328="common",0,IF(D328="rare",1,IF(D328="epic",2,IF(D328="legendary",3,4))))</f>
        <v/>
      </c>
    </row>
    <row r="329">
      <c r="A329" s="7">
        <f>LOWER(Characters!$Q67)&amp;"-s1-epic"</f>
        <v/>
      </c>
      <c r="B329" s="7">
        <f>Characters!$Q67</f>
        <v/>
      </c>
      <c r="C329" s="7" t="inlineStr">
        <is>
          <t>S1</t>
        </is>
      </c>
      <c r="D329" s="7" t="inlineStr">
        <is>
          <t>epic</t>
        </is>
      </c>
      <c r="E329" s="7">
        <f>Characters!$S67-"&amp;Characters!$Q67-"&amp;UPPER(LEFT("epic",1))</f>
        <v/>
      </c>
      <c r="F329" s="7">
        <f>IF(D329="legendary",1000,IF(D329="secret",100,""))</f>
        <v/>
      </c>
      <c r="G329" s="7" t="n">
        <v>0</v>
      </c>
      <c r="H329" s="7">
        <f>IF(D329="common",0,IF(D329="rare",1,IF(D329="epic",2,IF(D329="legendary",3,4))))</f>
        <v/>
      </c>
    </row>
    <row r="330">
      <c r="A330" s="7">
        <f>LOWER(Characters!$Q67)&amp;"-s1-legendary"</f>
        <v/>
      </c>
      <c r="B330" s="7">
        <f>Characters!$Q67</f>
        <v/>
      </c>
      <c r="C330" s="7" t="inlineStr">
        <is>
          <t>S1</t>
        </is>
      </c>
      <c r="D330" s="7" t="inlineStr">
        <is>
          <t>legendary</t>
        </is>
      </c>
      <c r="E330" s="7">
        <f>Characters!$S67-"&amp;Characters!$Q67-"&amp;UPPER(LEFT("legendary",1))</f>
        <v/>
      </c>
      <c r="F330" s="7">
        <f>IF(D330="legendary",1000,IF(D330="secret",100,""))</f>
        <v/>
      </c>
      <c r="G330" s="7" t="n">
        <v>0</v>
      </c>
      <c r="H330" s="7">
        <f>IF(D330="common",0,IF(D330="rare",1,IF(D330="epic",2,IF(D330="legendary",3,4))))</f>
        <v/>
      </c>
    </row>
    <row r="331">
      <c r="A331" s="7">
        <f>LOWER(Characters!$Q67)&amp;"-s1-secret"</f>
        <v/>
      </c>
      <c r="B331" s="7">
        <f>Characters!$Q67</f>
        <v/>
      </c>
      <c r="C331" s="7" t="inlineStr">
        <is>
          <t>S1</t>
        </is>
      </c>
      <c r="D331" s="7" t="inlineStr">
        <is>
          <t>secret</t>
        </is>
      </c>
      <c r="E331" s="7">
        <f>Characters!$S67-"&amp;Characters!$Q67-"&amp;UPPER(LEFT("secret",1))</f>
        <v/>
      </c>
      <c r="F331" s="7">
        <f>IF(D331="legendary",1000,IF(D331="secret",100,""))</f>
        <v/>
      </c>
      <c r="G331" s="7" t="n">
        <v>0</v>
      </c>
      <c r="H331" s="7">
        <f>IF(D331="common",0,IF(D331="rare",1,IF(D331="epic",2,IF(D331="legendary",3,4))))</f>
        <v/>
      </c>
    </row>
    <row r="332">
      <c r="A332" s="7">
        <f>LOWER(Characters!$Q68)&amp;"-s1-common"</f>
        <v/>
      </c>
      <c r="B332" s="7">
        <f>Characters!$Q68</f>
        <v/>
      </c>
      <c r="C332" s="7" t="inlineStr">
        <is>
          <t>S1</t>
        </is>
      </c>
      <c r="D332" s="7" t="inlineStr">
        <is>
          <t>common</t>
        </is>
      </c>
      <c r="E332" s="7">
        <f>Characters!$S68-"&amp;Characters!$Q68-"&amp;UPPER(LEFT("common",1))</f>
        <v/>
      </c>
      <c r="F332" s="7">
        <f>IF(D332="legendary",1000,IF(D332="secret",100,""))</f>
        <v/>
      </c>
      <c r="G332" s="7" t="n">
        <v>0</v>
      </c>
      <c r="H332" s="7">
        <f>IF(D332="common",0,IF(D332="rare",1,IF(D332="epic",2,IF(D332="legendary",3,4))))</f>
        <v/>
      </c>
    </row>
    <row r="333">
      <c r="A333" s="7">
        <f>LOWER(Characters!$Q68)&amp;"-s1-rare"</f>
        <v/>
      </c>
      <c r="B333" s="7">
        <f>Characters!$Q68</f>
        <v/>
      </c>
      <c r="C333" s="7" t="inlineStr">
        <is>
          <t>S1</t>
        </is>
      </c>
      <c r="D333" s="7" t="inlineStr">
        <is>
          <t>rare</t>
        </is>
      </c>
      <c r="E333" s="7">
        <f>Characters!$S68-"&amp;Characters!$Q68-"&amp;UPPER(LEFT("rare",1))</f>
        <v/>
      </c>
      <c r="F333" s="7">
        <f>IF(D333="legendary",1000,IF(D333="secret",100,""))</f>
        <v/>
      </c>
      <c r="G333" s="7" t="n">
        <v>0</v>
      </c>
      <c r="H333" s="7">
        <f>IF(D333="common",0,IF(D333="rare",1,IF(D333="epic",2,IF(D333="legendary",3,4))))</f>
        <v/>
      </c>
    </row>
    <row r="334">
      <c r="A334" s="7">
        <f>LOWER(Characters!$Q68)&amp;"-s1-epic"</f>
        <v/>
      </c>
      <c r="B334" s="7">
        <f>Characters!$Q68</f>
        <v/>
      </c>
      <c r="C334" s="7" t="inlineStr">
        <is>
          <t>S1</t>
        </is>
      </c>
      <c r="D334" s="7" t="inlineStr">
        <is>
          <t>epic</t>
        </is>
      </c>
      <c r="E334" s="7">
        <f>Characters!$S68-"&amp;Characters!$Q68-"&amp;UPPER(LEFT("epic",1))</f>
        <v/>
      </c>
      <c r="F334" s="7">
        <f>IF(D334="legendary",1000,IF(D334="secret",100,""))</f>
        <v/>
      </c>
      <c r="G334" s="7" t="n">
        <v>0</v>
      </c>
      <c r="H334" s="7">
        <f>IF(D334="common",0,IF(D334="rare",1,IF(D334="epic",2,IF(D334="legendary",3,4))))</f>
        <v/>
      </c>
    </row>
    <row r="335">
      <c r="A335" s="7">
        <f>LOWER(Characters!$Q68)&amp;"-s1-legendary"</f>
        <v/>
      </c>
      <c r="B335" s="7">
        <f>Characters!$Q68</f>
        <v/>
      </c>
      <c r="C335" s="7" t="inlineStr">
        <is>
          <t>S1</t>
        </is>
      </c>
      <c r="D335" s="7" t="inlineStr">
        <is>
          <t>legendary</t>
        </is>
      </c>
      <c r="E335" s="7">
        <f>Characters!$S68-"&amp;Characters!$Q68-"&amp;UPPER(LEFT("legendary",1))</f>
        <v/>
      </c>
      <c r="F335" s="7">
        <f>IF(D335="legendary",1000,IF(D335="secret",100,""))</f>
        <v/>
      </c>
      <c r="G335" s="7" t="n">
        <v>0</v>
      </c>
      <c r="H335" s="7">
        <f>IF(D335="common",0,IF(D335="rare",1,IF(D335="epic",2,IF(D335="legendary",3,4))))</f>
        <v/>
      </c>
    </row>
    <row r="336">
      <c r="A336" s="7">
        <f>LOWER(Characters!$Q68)&amp;"-s1-secret"</f>
        <v/>
      </c>
      <c r="B336" s="7">
        <f>Characters!$Q68</f>
        <v/>
      </c>
      <c r="C336" s="7" t="inlineStr">
        <is>
          <t>S1</t>
        </is>
      </c>
      <c r="D336" s="7" t="inlineStr">
        <is>
          <t>secret</t>
        </is>
      </c>
      <c r="E336" s="7">
        <f>Characters!$S68-"&amp;Characters!$Q68-"&amp;UPPER(LEFT("secret",1))</f>
        <v/>
      </c>
      <c r="F336" s="7">
        <f>IF(D336="legendary",1000,IF(D336="secret",100,""))</f>
        <v/>
      </c>
      <c r="G336" s="7" t="n">
        <v>0</v>
      </c>
      <c r="H336" s="7">
        <f>IF(D336="common",0,IF(D336="rare",1,IF(D336="epic",2,IF(D336="legendary",3,4))))</f>
        <v/>
      </c>
    </row>
    <row r="337">
      <c r="A337" s="7">
        <f>LOWER(Characters!$Q69)&amp;"-s1-common"</f>
        <v/>
      </c>
      <c r="B337" s="7">
        <f>Characters!$Q69</f>
        <v/>
      </c>
      <c r="C337" s="7" t="inlineStr">
        <is>
          <t>S1</t>
        </is>
      </c>
      <c r="D337" s="7" t="inlineStr">
        <is>
          <t>common</t>
        </is>
      </c>
      <c r="E337" s="7">
        <f>Characters!$S69-"&amp;Characters!$Q69-"&amp;UPPER(LEFT("common",1))</f>
        <v/>
      </c>
      <c r="F337" s="7">
        <f>IF(D337="legendary",1000,IF(D337="secret",100,""))</f>
        <v/>
      </c>
      <c r="G337" s="7" t="n">
        <v>0</v>
      </c>
      <c r="H337" s="7">
        <f>IF(D337="common",0,IF(D337="rare",1,IF(D337="epic",2,IF(D337="legendary",3,4))))</f>
        <v/>
      </c>
    </row>
    <row r="338">
      <c r="A338" s="7">
        <f>LOWER(Characters!$Q69)&amp;"-s1-rare"</f>
        <v/>
      </c>
      <c r="B338" s="7">
        <f>Characters!$Q69</f>
        <v/>
      </c>
      <c r="C338" s="7" t="inlineStr">
        <is>
          <t>S1</t>
        </is>
      </c>
      <c r="D338" s="7" t="inlineStr">
        <is>
          <t>rare</t>
        </is>
      </c>
      <c r="E338" s="7">
        <f>Characters!$S69-"&amp;Characters!$Q69-"&amp;UPPER(LEFT("rare",1))</f>
        <v/>
      </c>
      <c r="F338" s="7">
        <f>IF(D338="legendary",1000,IF(D338="secret",100,""))</f>
        <v/>
      </c>
      <c r="G338" s="7" t="n">
        <v>0</v>
      </c>
      <c r="H338" s="7">
        <f>IF(D338="common",0,IF(D338="rare",1,IF(D338="epic",2,IF(D338="legendary",3,4))))</f>
        <v/>
      </c>
    </row>
    <row r="339">
      <c r="A339" s="7">
        <f>LOWER(Characters!$Q69)&amp;"-s1-epic"</f>
        <v/>
      </c>
      <c r="B339" s="7">
        <f>Characters!$Q69</f>
        <v/>
      </c>
      <c r="C339" s="7" t="inlineStr">
        <is>
          <t>S1</t>
        </is>
      </c>
      <c r="D339" s="7" t="inlineStr">
        <is>
          <t>epic</t>
        </is>
      </c>
      <c r="E339" s="7">
        <f>Characters!$S69-"&amp;Characters!$Q69-"&amp;UPPER(LEFT("epic",1))</f>
        <v/>
      </c>
      <c r="F339" s="7">
        <f>IF(D339="legendary",1000,IF(D339="secret",100,""))</f>
        <v/>
      </c>
      <c r="G339" s="7" t="n">
        <v>0</v>
      </c>
      <c r="H339" s="7">
        <f>IF(D339="common",0,IF(D339="rare",1,IF(D339="epic",2,IF(D339="legendary",3,4))))</f>
        <v/>
      </c>
    </row>
    <row r="340">
      <c r="A340" s="7">
        <f>LOWER(Characters!$Q69)&amp;"-s1-legendary"</f>
        <v/>
      </c>
      <c r="B340" s="7">
        <f>Characters!$Q69</f>
        <v/>
      </c>
      <c r="C340" s="7" t="inlineStr">
        <is>
          <t>S1</t>
        </is>
      </c>
      <c r="D340" s="7" t="inlineStr">
        <is>
          <t>legendary</t>
        </is>
      </c>
      <c r="E340" s="7">
        <f>Characters!$S69-"&amp;Characters!$Q69-"&amp;UPPER(LEFT("legendary",1))</f>
        <v/>
      </c>
      <c r="F340" s="7">
        <f>IF(D340="legendary",1000,IF(D340="secret",100,""))</f>
        <v/>
      </c>
      <c r="G340" s="7" t="n">
        <v>0</v>
      </c>
      <c r="H340" s="7">
        <f>IF(D340="common",0,IF(D340="rare",1,IF(D340="epic",2,IF(D340="legendary",3,4))))</f>
        <v/>
      </c>
    </row>
    <row r="341">
      <c r="A341" s="7">
        <f>LOWER(Characters!$Q69)&amp;"-s1-secret"</f>
        <v/>
      </c>
      <c r="B341" s="7">
        <f>Characters!$Q69</f>
        <v/>
      </c>
      <c r="C341" s="7" t="inlineStr">
        <is>
          <t>S1</t>
        </is>
      </c>
      <c r="D341" s="7" t="inlineStr">
        <is>
          <t>secret</t>
        </is>
      </c>
      <c r="E341" s="7">
        <f>Characters!$S69-"&amp;Characters!$Q69-"&amp;UPPER(LEFT("secret",1))</f>
        <v/>
      </c>
      <c r="F341" s="7">
        <f>IF(D341="legendary",1000,IF(D341="secret",100,""))</f>
        <v/>
      </c>
      <c r="G341" s="7" t="n">
        <v>0</v>
      </c>
      <c r="H341" s="7">
        <f>IF(D341="common",0,IF(D341="rare",1,IF(D341="epic",2,IF(D341="legendary",3,4))))</f>
        <v/>
      </c>
    </row>
    <row r="342">
      <c r="A342" s="7">
        <f>LOWER(Characters!$Q70)&amp;"-s1-common"</f>
        <v/>
      </c>
      <c r="B342" s="7">
        <f>Characters!$Q70</f>
        <v/>
      </c>
      <c r="C342" s="7" t="inlineStr">
        <is>
          <t>S1</t>
        </is>
      </c>
      <c r="D342" s="7" t="inlineStr">
        <is>
          <t>common</t>
        </is>
      </c>
      <c r="E342" s="7">
        <f>Characters!$S70-"&amp;Characters!$Q70-"&amp;UPPER(LEFT("common",1))</f>
        <v/>
      </c>
      <c r="F342" s="7">
        <f>IF(D342="legendary",1000,IF(D342="secret",100,""))</f>
        <v/>
      </c>
      <c r="G342" s="7" t="n">
        <v>0</v>
      </c>
      <c r="H342" s="7">
        <f>IF(D342="common",0,IF(D342="rare",1,IF(D342="epic",2,IF(D342="legendary",3,4))))</f>
        <v/>
      </c>
    </row>
    <row r="343">
      <c r="A343" s="7">
        <f>LOWER(Characters!$Q70)&amp;"-s1-rare"</f>
        <v/>
      </c>
      <c r="B343" s="7">
        <f>Characters!$Q70</f>
        <v/>
      </c>
      <c r="C343" s="7" t="inlineStr">
        <is>
          <t>S1</t>
        </is>
      </c>
      <c r="D343" s="7" t="inlineStr">
        <is>
          <t>rare</t>
        </is>
      </c>
      <c r="E343" s="7">
        <f>Characters!$S70-"&amp;Characters!$Q70-"&amp;UPPER(LEFT("rare",1))</f>
        <v/>
      </c>
      <c r="F343" s="7">
        <f>IF(D343="legendary",1000,IF(D343="secret",100,""))</f>
        <v/>
      </c>
      <c r="G343" s="7" t="n">
        <v>0</v>
      </c>
      <c r="H343" s="7">
        <f>IF(D343="common",0,IF(D343="rare",1,IF(D343="epic",2,IF(D343="legendary",3,4))))</f>
        <v/>
      </c>
    </row>
    <row r="344">
      <c r="A344" s="7">
        <f>LOWER(Characters!$Q70)&amp;"-s1-epic"</f>
        <v/>
      </c>
      <c r="B344" s="7">
        <f>Characters!$Q70</f>
        <v/>
      </c>
      <c r="C344" s="7" t="inlineStr">
        <is>
          <t>S1</t>
        </is>
      </c>
      <c r="D344" s="7" t="inlineStr">
        <is>
          <t>epic</t>
        </is>
      </c>
      <c r="E344" s="7">
        <f>Characters!$S70-"&amp;Characters!$Q70-"&amp;UPPER(LEFT("epic",1))</f>
        <v/>
      </c>
      <c r="F344" s="7">
        <f>IF(D344="legendary",1000,IF(D344="secret",100,""))</f>
        <v/>
      </c>
      <c r="G344" s="7" t="n">
        <v>0</v>
      </c>
      <c r="H344" s="7">
        <f>IF(D344="common",0,IF(D344="rare",1,IF(D344="epic",2,IF(D344="legendary",3,4))))</f>
        <v/>
      </c>
    </row>
    <row r="345">
      <c r="A345" s="7">
        <f>LOWER(Characters!$Q70)&amp;"-s1-legendary"</f>
        <v/>
      </c>
      <c r="B345" s="7">
        <f>Characters!$Q70</f>
        <v/>
      </c>
      <c r="C345" s="7" t="inlineStr">
        <is>
          <t>S1</t>
        </is>
      </c>
      <c r="D345" s="7" t="inlineStr">
        <is>
          <t>legendary</t>
        </is>
      </c>
      <c r="E345" s="7">
        <f>Characters!$S70-"&amp;Characters!$Q70-"&amp;UPPER(LEFT("legendary",1))</f>
        <v/>
      </c>
      <c r="F345" s="7">
        <f>IF(D345="legendary",1000,IF(D345="secret",100,""))</f>
        <v/>
      </c>
      <c r="G345" s="7" t="n">
        <v>0</v>
      </c>
      <c r="H345" s="7">
        <f>IF(D345="common",0,IF(D345="rare",1,IF(D345="epic",2,IF(D345="legendary",3,4))))</f>
        <v/>
      </c>
    </row>
    <row r="346">
      <c r="A346" s="7">
        <f>LOWER(Characters!$Q70)&amp;"-s1-secret"</f>
        <v/>
      </c>
      <c r="B346" s="7">
        <f>Characters!$Q70</f>
        <v/>
      </c>
      <c r="C346" s="7" t="inlineStr">
        <is>
          <t>S1</t>
        </is>
      </c>
      <c r="D346" s="7" t="inlineStr">
        <is>
          <t>secret</t>
        </is>
      </c>
      <c r="E346" s="7">
        <f>Characters!$S70-"&amp;Characters!$Q70-"&amp;UPPER(LEFT("secret",1))</f>
        <v/>
      </c>
      <c r="F346" s="7">
        <f>IF(D346="legendary",1000,IF(D346="secret",100,""))</f>
        <v/>
      </c>
      <c r="G346" s="7" t="n">
        <v>0</v>
      </c>
      <c r="H346" s="7">
        <f>IF(D346="common",0,IF(D346="rare",1,IF(D346="epic",2,IF(D346="legendary",3,4))))</f>
        <v/>
      </c>
    </row>
    <row r="347">
      <c r="A347" s="7">
        <f>LOWER(Characters!$Q71)&amp;"-s1-common"</f>
        <v/>
      </c>
      <c r="B347" s="7">
        <f>Characters!$Q71</f>
        <v/>
      </c>
      <c r="C347" s="7" t="inlineStr">
        <is>
          <t>S1</t>
        </is>
      </c>
      <c r="D347" s="7" t="inlineStr">
        <is>
          <t>common</t>
        </is>
      </c>
      <c r="E347" s="7">
        <f>Characters!$S71-"&amp;Characters!$Q71-"&amp;UPPER(LEFT("common",1))</f>
        <v/>
      </c>
      <c r="F347" s="7">
        <f>IF(D347="legendary",1000,IF(D347="secret",100,""))</f>
        <v/>
      </c>
      <c r="G347" s="7" t="n">
        <v>0</v>
      </c>
      <c r="H347" s="7">
        <f>IF(D347="common",0,IF(D347="rare",1,IF(D347="epic",2,IF(D347="legendary",3,4))))</f>
        <v/>
      </c>
    </row>
    <row r="348">
      <c r="A348" s="7">
        <f>LOWER(Characters!$Q71)&amp;"-s1-rare"</f>
        <v/>
      </c>
      <c r="B348" s="7">
        <f>Characters!$Q71</f>
        <v/>
      </c>
      <c r="C348" s="7" t="inlineStr">
        <is>
          <t>S1</t>
        </is>
      </c>
      <c r="D348" s="7" t="inlineStr">
        <is>
          <t>rare</t>
        </is>
      </c>
      <c r="E348" s="7">
        <f>Characters!$S71-"&amp;Characters!$Q71-"&amp;UPPER(LEFT("rare",1))</f>
        <v/>
      </c>
      <c r="F348" s="7">
        <f>IF(D348="legendary",1000,IF(D348="secret",100,""))</f>
        <v/>
      </c>
      <c r="G348" s="7" t="n">
        <v>0</v>
      </c>
      <c r="H348" s="7">
        <f>IF(D348="common",0,IF(D348="rare",1,IF(D348="epic",2,IF(D348="legendary",3,4))))</f>
        <v/>
      </c>
    </row>
    <row r="349">
      <c r="A349" s="7">
        <f>LOWER(Characters!$Q71)&amp;"-s1-epic"</f>
        <v/>
      </c>
      <c r="B349" s="7">
        <f>Characters!$Q71</f>
        <v/>
      </c>
      <c r="C349" s="7" t="inlineStr">
        <is>
          <t>S1</t>
        </is>
      </c>
      <c r="D349" s="7" t="inlineStr">
        <is>
          <t>epic</t>
        </is>
      </c>
      <c r="E349" s="7">
        <f>Characters!$S71-"&amp;Characters!$Q71-"&amp;UPPER(LEFT("epic",1))</f>
        <v/>
      </c>
      <c r="F349" s="7">
        <f>IF(D349="legendary",1000,IF(D349="secret",100,""))</f>
        <v/>
      </c>
      <c r="G349" s="7" t="n">
        <v>0</v>
      </c>
      <c r="H349" s="7">
        <f>IF(D349="common",0,IF(D349="rare",1,IF(D349="epic",2,IF(D349="legendary",3,4))))</f>
        <v/>
      </c>
    </row>
    <row r="350">
      <c r="A350" s="7">
        <f>LOWER(Characters!$Q71)&amp;"-s1-legendary"</f>
        <v/>
      </c>
      <c r="B350" s="7">
        <f>Characters!$Q71</f>
        <v/>
      </c>
      <c r="C350" s="7" t="inlineStr">
        <is>
          <t>S1</t>
        </is>
      </c>
      <c r="D350" s="7" t="inlineStr">
        <is>
          <t>legendary</t>
        </is>
      </c>
      <c r="E350" s="7">
        <f>Characters!$S71-"&amp;Characters!$Q71-"&amp;UPPER(LEFT("legendary",1))</f>
        <v/>
      </c>
      <c r="F350" s="7">
        <f>IF(D350="legendary",1000,IF(D350="secret",100,""))</f>
        <v/>
      </c>
      <c r="G350" s="7" t="n">
        <v>0</v>
      </c>
      <c r="H350" s="7">
        <f>IF(D350="common",0,IF(D350="rare",1,IF(D350="epic",2,IF(D350="legendary",3,4))))</f>
        <v/>
      </c>
    </row>
    <row r="351">
      <c r="A351" s="7">
        <f>LOWER(Characters!$Q71)&amp;"-s1-secret"</f>
        <v/>
      </c>
      <c r="B351" s="7">
        <f>Characters!$Q71</f>
        <v/>
      </c>
      <c r="C351" s="7" t="inlineStr">
        <is>
          <t>S1</t>
        </is>
      </c>
      <c r="D351" s="7" t="inlineStr">
        <is>
          <t>secret</t>
        </is>
      </c>
      <c r="E351" s="7">
        <f>Characters!$S71-"&amp;Characters!$Q71-"&amp;UPPER(LEFT("secret",1))</f>
        <v/>
      </c>
      <c r="F351" s="7">
        <f>IF(D351="legendary",1000,IF(D351="secret",100,""))</f>
        <v/>
      </c>
      <c r="G351" s="7" t="n">
        <v>0</v>
      </c>
      <c r="H351" s="7">
        <f>IF(D351="common",0,IF(D351="rare",1,IF(D351="epic",2,IF(D351="legendary",3,4))))</f>
        <v/>
      </c>
    </row>
    <row r="352">
      <c r="A352" s="7">
        <f>LOWER(Characters!$Q72)&amp;"-s1-common"</f>
        <v/>
      </c>
      <c r="B352" s="7">
        <f>Characters!$Q72</f>
        <v/>
      </c>
      <c r="C352" s="7" t="inlineStr">
        <is>
          <t>S1</t>
        </is>
      </c>
      <c r="D352" s="7" t="inlineStr">
        <is>
          <t>common</t>
        </is>
      </c>
      <c r="E352" s="7">
        <f>Characters!$S72-"&amp;Characters!$Q72-"&amp;UPPER(LEFT("common",1))</f>
        <v/>
      </c>
      <c r="F352" s="7">
        <f>IF(D352="legendary",1000,IF(D352="secret",100,""))</f>
        <v/>
      </c>
      <c r="G352" s="7" t="n">
        <v>0</v>
      </c>
      <c r="H352" s="7">
        <f>IF(D352="common",0,IF(D352="rare",1,IF(D352="epic",2,IF(D352="legendary",3,4))))</f>
        <v/>
      </c>
    </row>
    <row r="353">
      <c r="A353" s="7">
        <f>LOWER(Characters!$Q72)&amp;"-s1-rare"</f>
        <v/>
      </c>
      <c r="B353" s="7">
        <f>Characters!$Q72</f>
        <v/>
      </c>
      <c r="C353" s="7" t="inlineStr">
        <is>
          <t>S1</t>
        </is>
      </c>
      <c r="D353" s="7" t="inlineStr">
        <is>
          <t>rare</t>
        </is>
      </c>
      <c r="E353" s="7">
        <f>Characters!$S72-"&amp;Characters!$Q72-"&amp;UPPER(LEFT("rare",1))</f>
        <v/>
      </c>
      <c r="F353" s="7">
        <f>IF(D353="legendary",1000,IF(D353="secret",100,""))</f>
        <v/>
      </c>
      <c r="G353" s="7" t="n">
        <v>0</v>
      </c>
      <c r="H353" s="7">
        <f>IF(D353="common",0,IF(D353="rare",1,IF(D353="epic",2,IF(D353="legendary",3,4))))</f>
        <v/>
      </c>
    </row>
    <row r="354">
      <c r="A354" s="7">
        <f>LOWER(Characters!$Q72)&amp;"-s1-epic"</f>
        <v/>
      </c>
      <c r="B354" s="7">
        <f>Characters!$Q72</f>
        <v/>
      </c>
      <c r="C354" s="7" t="inlineStr">
        <is>
          <t>S1</t>
        </is>
      </c>
      <c r="D354" s="7" t="inlineStr">
        <is>
          <t>epic</t>
        </is>
      </c>
      <c r="E354" s="7">
        <f>Characters!$S72-"&amp;Characters!$Q72-"&amp;UPPER(LEFT("epic",1))</f>
        <v/>
      </c>
      <c r="F354" s="7">
        <f>IF(D354="legendary",1000,IF(D354="secret",100,""))</f>
        <v/>
      </c>
      <c r="G354" s="7" t="n">
        <v>0</v>
      </c>
      <c r="H354" s="7">
        <f>IF(D354="common",0,IF(D354="rare",1,IF(D354="epic",2,IF(D354="legendary",3,4))))</f>
        <v/>
      </c>
    </row>
    <row r="355">
      <c r="A355" s="7">
        <f>LOWER(Characters!$Q72)&amp;"-s1-legendary"</f>
        <v/>
      </c>
      <c r="B355" s="7">
        <f>Characters!$Q72</f>
        <v/>
      </c>
      <c r="C355" s="7" t="inlineStr">
        <is>
          <t>S1</t>
        </is>
      </c>
      <c r="D355" s="7" t="inlineStr">
        <is>
          <t>legendary</t>
        </is>
      </c>
      <c r="E355" s="7">
        <f>Characters!$S72-"&amp;Characters!$Q72-"&amp;UPPER(LEFT("legendary",1))</f>
        <v/>
      </c>
      <c r="F355" s="7">
        <f>IF(D355="legendary",1000,IF(D355="secret",100,""))</f>
        <v/>
      </c>
      <c r="G355" s="7" t="n">
        <v>0</v>
      </c>
      <c r="H355" s="7">
        <f>IF(D355="common",0,IF(D355="rare",1,IF(D355="epic",2,IF(D355="legendary",3,4))))</f>
        <v/>
      </c>
    </row>
    <row r="356">
      <c r="A356" s="7">
        <f>LOWER(Characters!$Q72)&amp;"-s1-secret"</f>
        <v/>
      </c>
      <c r="B356" s="7">
        <f>Characters!$Q72</f>
        <v/>
      </c>
      <c r="C356" s="7" t="inlineStr">
        <is>
          <t>S1</t>
        </is>
      </c>
      <c r="D356" s="7" t="inlineStr">
        <is>
          <t>secret</t>
        </is>
      </c>
      <c r="E356" s="7">
        <f>Characters!$S72-"&amp;Characters!$Q72-"&amp;UPPER(LEFT("secret",1))</f>
        <v/>
      </c>
      <c r="F356" s="7">
        <f>IF(D356="legendary",1000,IF(D356="secret",100,""))</f>
        <v/>
      </c>
      <c r="G356" s="7" t="n">
        <v>0</v>
      </c>
      <c r="H356" s="7">
        <f>IF(D356="common",0,IF(D356="rare",1,IF(D356="epic",2,IF(D356="legendary",3,4))))</f>
        <v/>
      </c>
    </row>
    <row r="357">
      <c r="A357" s="7">
        <f>LOWER(Characters!$Q73)&amp;"-s1-common"</f>
        <v/>
      </c>
      <c r="B357" s="7">
        <f>Characters!$Q73</f>
        <v/>
      </c>
      <c r="C357" s="7" t="inlineStr">
        <is>
          <t>S1</t>
        </is>
      </c>
      <c r="D357" s="7" t="inlineStr">
        <is>
          <t>common</t>
        </is>
      </c>
      <c r="E357" s="7">
        <f>Characters!$S73-"&amp;Characters!$Q73-"&amp;UPPER(LEFT("common",1))</f>
        <v/>
      </c>
      <c r="F357" s="7">
        <f>IF(D357="legendary",1000,IF(D357="secret",100,""))</f>
        <v/>
      </c>
      <c r="G357" s="7" t="n">
        <v>0</v>
      </c>
      <c r="H357" s="7">
        <f>IF(D357="common",0,IF(D357="rare",1,IF(D357="epic",2,IF(D357="legendary",3,4))))</f>
        <v/>
      </c>
    </row>
    <row r="358">
      <c r="A358" s="7">
        <f>LOWER(Characters!$Q73)&amp;"-s1-rare"</f>
        <v/>
      </c>
      <c r="B358" s="7">
        <f>Characters!$Q73</f>
        <v/>
      </c>
      <c r="C358" s="7" t="inlineStr">
        <is>
          <t>S1</t>
        </is>
      </c>
      <c r="D358" s="7" t="inlineStr">
        <is>
          <t>rare</t>
        </is>
      </c>
      <c r="E358" s="7">
        <f>Characters!$S73-"&amp;Characters!$Q73-"&amp;UPPER(LEFT("rare",1))</f>
        <v/>
      </c>
      <c r="F358" s="7">
        <f>IF(D358="legendary",1000,IF(D358="secret",100,""))</f>
        <v/>
      </c>
      <c r="G358" s="7" t="n">
        <v>0</v>
      </c>
      <c r="H358" s="7">
        <f>IF(D358="common",0,IF(D358="rare",1,IF(D358="epic",2,IF(D358="legendary",3,4))))</f>
        <v/>
      </c>
    </row>
    <row r="359">
      <c r="A359" s="7">
        <f>LOWER(Characters!$Q73)&amp;"-s1-epic"</f>
        <v/>
      </c>
      <c r="B359" s="7">
        <f>Characters!$Q73</f>
        <v/>
      </c>
      <c r="C359" s="7" t="inlineStr">
        <is>
          <t>S1</t>
        </is>
      </c>
      <c r="D359" s="7" t="inlineStr">
        <is>
          <t>epic</t>
        </is>
      </c>
      <c r="E359" s="7">
        <f>Characters!$S73-"&amp;Characters!$Q73-"&amp;UPPER(LEFT("epic",1))</f>
        <v/>
      </c>
      <c r="F359" s="7">
        <f>IF(D359="legendary",1000,IF(D359="secret",100,""))</f>
        <v/>
      </c>
      <c r="G359" s="7" t="n">
        <v>0</v>
      </c>
      <c r="H359" s="7">
        <f>IF(D359="common",0,IF(D359="rare",1,IF(D359="epic",2,IF(D359="legendary",3,4))))</f>
        <v/>
      </c>
    </row>
    <row r="360">
      <c r="A360" s="7">
        <f>LOWER(Characters!$Q73)&amp;"-s1-legendary"</f>
        <v/>
      </c>
      <c r="B360" s="7">
        <f>Characters!$Q73</f>
        <v/>
      </c>
      <c r="C360" s="7" t="inlineStr">
        <is>
          <t>S1</t>
        </is>
      </c>
      <c r="D360" s="7" t="inlineStr">
        <is>
          <t>legendary</t>
        </is>
      </c>
      <c r="E360" s="7">
        <f>Characters!$S73-"&amp;Characters!$Q73-"&amp;UPPER(LEFT("legendary",1))</f>
        <v/>
      </c>
      <c r="F360" s="7">
        <f>IF(D360="legendary",1000,IF(D360="secret",100,""))</f>
        <v/>
      </c>
      <c r="G360" s="7" t="n">
        <v>0</v>
      </c>
      <c r="H360" s="7">
        <f>IF(D360="common",0,IF(D360="rare",1,IF(D360="epic",2,IF(D360="legendary",3,4))))</f>
        <v/>
      </c>
    </row>
    <row r="361">
      <c r="A361" s="7">
        <f>LOWER(Characters!$Q73)&amp;"-s1-secret"</f>
        <v/>
      </c>
      <c r="B361" s="7">
        <f>Characters!$Q73</f>
        <v/>
      </c>
      <c r="C361" s="7" t="inlineStr">
        <is>
          <t>S1</t>
        </is>
      </c>
      <c r="D361" s="7" t="inlineStr">
        <is>
          <t>secret</t>
        </is>
      </c>
      <c r="E361" s="7">
        <f>Characters!$S73-"&amp;Characters!$Q73-"&amp;UPPER(LEFT("secret",1))</f>
        <v/>
      </c>
      <c r="F361" s="7">
        <f>IF(D361="legendary",1000,IF(D361="secret",100,""))</f>
        <v/>
      </c>
      <c r="G361" s="7" t="n">
        <v>0</v>
      </c>
      <c r="H361" s="7">
        <f>IF(D361="common",0,IF(D361="rare",1,IF(D361="epic",2,IF(D361="legendary",3,4))))</f>
        <v/>
      </c>
    </row>
    <row r="362">
      <c r="A362" s="7">
        <f>LOWER(Characters!$Q74)&amp;"-s1-common"</f>
        <v/>
      </c>
      <c r="B362" s="7">
        <f>Characters!$Q74</f>
        <v/>
      </c>
      <c r="C362" s="7" t="inlineStr">
        <is>
          <t>S1</t>
        </is>
      </c>
      <c r="D362" s="7" t="inlineStr">
        <is>
          <t>common</t>
        </is>
      </c>
      <c r="E362" s="7">
        <f>Characters!$S74-"&amp;Characters!$Q74-"&amp;UPPER(LEFT("common",1))</f>
        <v/>
      </c>
      <c r="F362" s="7">
        <f>IF(D362="legendary",1000,IF(D362="secret",100,""))</f>
        <v/>
      </c>
      <c r="G362" s="7" t="n">
        <v>0</v>
      </c>
      <c r="H362" s="7">
        <f>IF(D362="common",0,IF(D362="rare",1,IF(D362="epic",2,IF(D362="legendary",3,4))))</f>
        <v/>
      </c>
    </row>
    <row r="363">
      <c r="A363" s="7">
        <f>LOWER(Characters!$Q74)&amp;"-s1-rare"</f>
        <v/>
      </c>
      <c r="B363" s="7">
        <f>Characters!$Q74</f>
        <v/>
      </c>
      <c r="C363" s="7" t="inlineStr">
        <is>
          <t>S1</t>
        </is>
      </c>
      <c r="D363" s="7" t="inlineStr">
        <is>
          <t>rare</t>
        </is>
      </c>
      <c r="E363" s="7">
        <f>Characters!$S74-"&amp;Characters!$Q74-"&amp;UPPER(LEFT("rare",1))</f>
        <v/>
      </c>
      <c r="F363" s="7">
        <f>IF(D363="legendary",1000,IF(D363="secret",100,""))</f>
        <v/>
      </c>
      <c r="G363" s="7" t="n">
        <v>0</v>
      </c>
      <c r="H363" s="7">
        <f>IF(D363="common",0,IF(D363="rare",1,IF(D363="epic",2,IF(D363="legendary",3,4))))</f>
        <v/>
      </c>
    </row>
    <row r="364">
      <c r="A364" s="7">
        <f>LOWER(Characters!$Q74)&amp;"-s1-epic"</f>
        <v/>
      </c>
      <c r="B364" s="7">
        <f>Characters!$Q74</f>
        <v/>
      </c>
      <c r="C364" s="7" t="inlineStr">
        <is>
          <t>S1</t>
        </is>
      </c>
      <c r="D364" s="7" t="inlineStr">
        <is>
          <t>epic</t>
        </is>
      </c>
      <c r="E364" s="7">
        <f>Characters!$S74-"&amp;Characters!$Q74-"&amp;UPPER(LEFT("epic",1))</f>
        <v/>
      </c>
      <c r="F364" s="7">
        <f>IF(D364="legendary",1000,IF(D364="secret",100,""))</f>
        <v/>
      </c>
      <c r="G364" s="7" t="n">
        <v>0</v>
      </c>
      <c r="H364" s="7">
        <f>IF(D364="common",0,IF(D364="rare",1,IF(D364="epic",2,IF(D364="legendary",3,4))))</f>
        <v/>
      </c>
    </row>
    <row r="365">
      <c r="A365" s="7">
        <f>LOWER(Characters!$Q74)&amp;"-s1-legendary"</f>
        <v/>
      </c>
      <c r="B365" s="7">
        <f>Characters!$Q74</f>
        <v/>
      </c>
      <c r="C365" s="7" t="inlineStr">
        <is>
          <t>S1</t>
        </is>
      </c>
      <c r="D365" s="7" t="inlineStr">
        <is>
          <t>legendary</t>
        </is>
      </c>
      <c r="E365" s="7">
        <f>Characters!$S74-"&amp;Characters!$Q74-"&amp;UPPER(LEFT("legendary",1))</f>
        <v/>
      </c>
      <c r="F365" s="7">
        <f>IF(D365="legendary",1000,IF(D365="secret",100,""))</f>
        <v/>
      </c>
      <c r="G365" s="7" t="n">
        <v>0</v>
      </c>
      <c r="H365" s="7">
        <f>IF(D365="common",0,IF(D365="rare",1,IF(D365="epic",2,IF(D365="legendary",3,4))))</f>
        <v/>
      </c>
    </row>
    <row r="366">
      <c r="A366" s="7">
        <f>LOWER(Characters!$Q74)&amp;"-s1-secret"</f>
        <v/>
      </c>
      <c r="B366" s="7">
        <f>Characters!$Q74</f>
        <v/>
      </c>
      <c r="C366" s="7" t="inlineStr">
        <is>
          <t>S1</t>
        </is>
      </c>
      <c r="D366" s="7" t="inlineStr">
        <is>
          <t>secret</t>
        </is>
      </c>
      <c r="E366" s="7">
        <f>Characters!$S74-"&amp;Characters!$Q74-"&amp;UPPER(LEFT("secret",1))</f>
        <v/>
      </c>
      <c r="F366" s="7">
        <f>IF(D366="legendary",1000,IF(D366="secret",100,""))</f>
        <v/>
      </c>
      <c r="G366" s="7" t="n">
        <v>0</v>
      </c>
      <c r="H366" s="7">
        <f>IF(D366="common",0,IF(D366="rare",1,IF(D366="epic",2,IF(D366="legendary",3,4))))</f>
        <v/>
      </c>
    </row>
    <row r="367">
      <c r="A367" s="7">
        <f>LOWER(Characters!$Q75)&amp;"-s1-common"</f>
        <v/>
      </c>
      <c r="B367" s="7">
        <f>Characters!$Q75</f>
        <v/>
      </c>
      <c r="C367" s="7" t="inlineStr">
        <is>
          <t>S1</t>
        </is>
      </c>
      <c r="D367" s="7" t="inlineStr">
        <is>
          <t>common</t>
        </is>
      </c>
      <c r="E367" s="7">
        <f>Characters!$S75-"&amp;Characters!$Q75-"&amp;UPPER(LEFT("common",1))</f>
        <v/>
      </c>
      <c r="F367" s="7">
        <f>IF(D367="legendary",1000,IF(D367="secret",100,""))</f>
        <v/>
      </c>
      <c r="G367" s="7" t="n">
        <v>0</v>
      </c>
      <c r="H367" s="7">
        <f>IF(D367="common",0,IF(D367="rare",1,IF(D367="epic",2,IF(D367="legendary",3,4))))</f>
        <v/>
      </c>
    </row>
    <row r="368">
      <c r="A368" s="7">
        <f>LOWER(Characters!$Q75)&amp;"-s1-rare"</f>
        <v/>
      </c>
      <c r="B368" s="7">
        <f>Characters!$Q75</f>
        <v/>
      </c>
      <c r="C368" s="7" t="inlineStr">
        <is>
          <t>S1</t>
        </is>
      </c>
      <c r="D368" s="7" t="inlineStr">
        <is>
          <t>rare</t>
        </is>
      </c>
      <c r="E368" s="7">
        <f>Characters!$S75-"&amp;Characters!$Q75-"&amp;UPPER(LEFT("rare",1))</f>
        <v/>
      </c>
      <c r="F368" s="7">
        <f>IF(D368="legendary",1000,IF(D368="secret",100,""))</f>
        <v/>
      </c>
      <c r="G368" s="7" t="n">
        <v>0</v>
      </c>
      <c r="H368" s="7">
        <f>IF(D368="common",0,IF(D368="rare",1,IF(D368="epic",2,IF(D368="legendary",3,4))))</f>
        <v/>
      </c>
    </row>
    <row r="369">
      <c r="A369" s="7">
        <f>LOWER(Characters!$Q75)&amp;"-s1-epic"</f>
        <v/>
      </c>
      <c r="B369" s="7">
        <f>Characters!$Q75</f>
        <v/>
      </c>
      <c r="C369" s="7" t="inlineStr">
        <is>
          <t>S1</t>
        </is>
      </c>
      <c r="D369" s="7" t="inlineStr">
        <is>
          <t>epic</t>
        </is>
      </c>
      <c r="E369" s="7">
        <f>Characters!$S75-"&amp;Characters!$Q75-"&amp;UPPER(LEFT("epic",1))</f>
        <v/>
      </c>
      <c r="F369" s="7">
        <f>IF(D369="legendary",1000,IF(D369="secret",100,""))</f>
        <v/>
      </c>
      <c r="G369" s="7" t="n">
        <v>0</v>
      </c>
      <c r="H369" s="7">
        <f>IF(D369="common",0,IF(D369="rare",1,IF(D369="epic",2,IF(D369="legendary",3,4))))</f>
        <v/>
      </c>
    </row>
    <row r="370">
      <c r="A370" s="7">
        <f>LOWER(Characters!$Q75)&amp;"-s1-legendary"</f>
        <v/>
      </c>
      <c r="B370" s="7">
        <f>Characters!$Q75</f>
        <v/>
      </c>
      <c r="C370" s="7" t="inlineStr">
        <is>
          <t>S1</t>
        </is>
      </c>
      <c r="D370" s="7" t="inlineStr">
        <is>
          <t>legendary</t>
        </is>
      </c>
      <c r="E370" s="7">
        <f>Characters!$S75-"&amp;Characters!$Q75-"&amp;UPPER(LEFT("legendary",1))</f>
        <v/>
      </c>
      <c r="F370" s="7">
        <f>IF(D370="legendary",1000,IF(D370="secret",100,""))</f>
        <v/>
      </c>
      <c r="G370" s="7" t="n">
        <v>0</v>
      </c>
      <c r="H370" s="7">
        <f>IF(D370="common",0,IF(D370="rare",1,IF(D370="epic",2,IF(D370="legendary",3,4))))</f>
        <v/>
      </c>
    </row>
    <row r="371">
      <c r="A371" s="7">
        <f>LOWER(Characters!$Q75)&amp;"-s1-secret"</f>
        <v/>
      </c>
      <c r="B371" s="7">
        <f>Characters!$Q75</f>
        <v/>
      </c>
      <c r="C371" s="7" t="inlineStr">
        <is>
          <t>S1</t>
        </is>
      </c>
      <c r="D371" s="7" t="inlineStr">
        <is>
          <t>secret</t>
        </is>
      </c>
      <c r="E371" s="7">
        <f>Characters!$S75-"&amp;Characters!$Q75-"&amp;UPPER(LEFT("secret",1))</f>
        <v/>
      </c>
      <c r="F371" s="7">
        <f>IF(D371="legendary",1000,IF(D371="secret",100,""))</f>
        <v/>
      </c>
      <c r="G371" s="7" t="n">
        <v>0</v>
      </c>
      <c r="H371" s="7">
        <f>IF(D371="common",0,IF(D371="rare",1,IF(D371="epic",2,IF(D371="legendary",3,4))))</f>
        <v/>
      </c>
    </row>
    <row r="372">
      <c r="A372" s="7">
        <f>LOWER(Characters!$Q76)&amp;"-s1-common"</f>
        <v/>
      </c>
      <c r="B372" s="7">
        <f>Characters!$Q76</f>
        <v/>
      </c>
      <c r="C372" s="7" t="inlineStr">
        <is>
          <t>S1</t>
        </is>
      </c>
      <c r="D372" s="7" t="inlineStr">
        <is>
          <t>common</t>
        </is>
      </c>
      <c r="E372" s="7">
        <f>Characters!$S76-"&amp;Characters!$Q76-"&amp;UPPER(LEFT("common",1))</f>
        <v/>
      </c>
      <c r="F372" s="7">
        <f>IF(D372="legendary",1000,IF(D372="secret",100,""))</f>
        <v/>
      </c>
      <c r="G372" s="7" t="n">
        <v>0</v>
      </c>
      <c r="H372" s="7">
        <f>IF(D372="common",0,IF(D372="rare",1,IF(D372="epic",2,IF(D372="legendary",3,4))))</f>
        <v/>
      </c>
    </row>
    <row r="373">
      <c r="A373" s="7">
        <f>LOWER(Characters!$Q76)&amp;"-s1-rare"</f>
        <v/>
      </c>
      <c r="B373" s="7">
        <f>Characters!$Q76</f>
        <v/>
      </c>
      <c r="C373" s="7" t="inlineStr">
        <is>
          <t>S1</t>
        </is>
      </c>
      <c r="D373" s="7" t="inlineStr">
        <is>
          <t>rare</t>
        </is>
      </c>
      <c r="E373" s="7">
        <f>Characters!$S76-"&amp;Characters!$Q76-"&amp;UPPER(LEFT("rare",1))</f>
        <v/>
      </c>
      <c r="F373" s="7">
        <f>IF(D373="legendary",1000,IF(D373="secret",100,""))</f>
        <v/>
      </c>
      <c r="G373" s="7" t="n">
        <v>0</v>
      </c>
      <c r="H373" s="7">
        <f>IF(D373="common",0,IF(D373="rare",1,IF(D373="epic",2,IF(D373="legendary",3,4))))</f>
        <v/>
      </c>
    </row>
    <row r="374">
      <c r="A374" s="7">
        <f>LOWER(Characters!$Q76)&amp;"-s1-epic"</f>
        <v/>
      </c>
      <c r="B374" s="7">
        <f>Characters!$Q76</f>
        <v/>
      </c>
      <c r="C374" s="7" t="inlineStr">
        <is>
          <t>S1</t>
        </is>
      </c>
      <c r="D374" s="7" t="inlineStr">
        <is>
          <t>epic</t>
        </is>
      </c>
      <c r="E374" s="7">
        <f>Characters!$S76-"&amp;Characters!$Q76-"&amp;UPPER(LEFT("epic",1))</f>
        <v/>
      </c>
      <c r="F374" s="7">
        <f>IF(D374="legendary",1000,IF(D374="secret",100,""))</f>
        <v/>
      </c>
      <c r="G374" s="7" t="n">
        <v>0</v>
      </c>
      <c r="H374" s="7">
        <f>IF(D374="common",0,IF(D374="rare",1,IF(D374="epic",2,IF(D374="legendary",3,4))))</f>
        <v/>
      </c>
    </row>
    <row r="375">
      <c r="A375" s="7">
        <f>LOWER(Characters!$Q76)&amp;"-s1-legendary"</f>
        <v/>
      </c>
      <c r="B375" s="7">
        <f>Characters!$Q76</f>
        <v/>
      </c>
      <c r="C375" s="7" t="inlineStr">
        <is>
          <t>S1</t>
        </is>
      </c>
      <c r="D375" s="7" t="inlineStr">
        <is>
          <t>legendary</t>
        </is>
      </c>
      <c r="E375" s="7">
        <f>Characters!$S76-"&amp;Characters!$Q76-"&amp;UPPER(LEFT("legendary",1))</f>
        <v/>
      </c>
      <c r="F375" s="7">
        <f>IF(D375="legendary",1000,IF(D375="secret",100,""))</f>
        <v/>
      </c>
      <c r="G375" s="7" t="n">
        <v>0</v>
      </c>
      <c r="H375" s="7">
        <f>IF(D375="common",0,IF(D375="rare",1,IF(D375="epic",2,IF(D375="legendary",3,4))))</f>
        <v/>
      </c>
    </row>
    <row r="376">
      <c r="A376" s="7">
        <f>LOWER(Characters!$Q76)&amp;"-s1-secret"</f>
        <v/>
      </c>
      <c r="B376" s="7">
        <f>Characters!$Q76</f>
        <v/>
      </c>
      <c r="C376" s="7" t="inlineStr">
        <is>
          <t>S1</t>
        </is>
      </c>
      <c r="D376" s="7" t="inlineStr">
        <is>
          <t>secret</t>
        </is>
      </c>
      <c r="E376" s="7">
        <f>Characters!$S76-"&amp;Characters!$Q76-"&amp;UPPER(LEFT("secret",1))</f>
        <v/>
      </c>
      <c r="F376" s="7">
        <f>IF(D376="legendary",1000,IF(D376="secret",100,""))</f>
        <v/>
      </c>
      <c r="G376" s="7" t="n">
        <v>0</v>
      </c>
      <c r="H376" s="7">
        <f>IF(D376="common",0,IF(D376="rare",1,IF(D376="epic",2,IF(D376="legendary",3,4))))</f>
        <v/>
      </c>
    </row>
    <row r="377">
      <c r="A377" s="7">
        <f>LOWER(Characters!$Q77)&amp;"-s1-common"</f>
        <v/>
      </c>
      <c r="B377" s="7">
        <f>Characters!$Q77</f>
        <v/>
      </c>
      <c r="C377" s="7" t="inlineStr">
        <is>
          <t>S1</t>
        </is>
      </c>
      <c r="D377" s="7" t="inlineStr">
        <is>
          <t>common</t>
        </is>
      </c>
      <c r="E377" s="7">
        <f>Characters!$S77-"&amp;Characters!$Q77-"&amp;UPPER(LEFT("common",1))</f>
        <v/>
      </c>
      <c r="F377" s="7">
        <f>IF(D377="legendary",1000,IF(D377="secret",100,""))</f>
        <v/>
      </c>
      <c r="G377" s="7" t="n">
        <v>0</v>
      </c>
      <c r="H377" s="7">
        <f>IF(D377="common",0,IF(D377="rare",1,IF(D377="epic",2,IF(D377="legendary",3,4))))</f>
        <v/>
      </c>
    </row>
    <row r="378">
      <c r="A378" s="7">
        <f>LOWER(Characters!$Q77)&amp;"-s1-rare"</f>
        <v/>
      </c>
      <c r="B378" s="7">
        <f>Characters!$Q77</f>
        <v/>
      </c>
      <c r="C378" s="7" t="inlineStr">
        <is>
          <t>S1</t>
        </is>
      </c>
      <c r="D378" s="7" t="inlineStr">
        <is>
          <t>rare</t>
        </is>
      </c>
      <c r="E378" s="7">
        <f>Characters!$S77-"&amp;Characters!$Q77-"&amp;UPPER(LEFT("rare",1))</f>
        <v/>
      </c>
      <c r="F378" s="7">
        <f>IF(D378="legendary",1000,IF(D378="secret",100,""))</f>
        <v/>
      </c>
      <c r="G378" s="7" t="n">
        <v>0</v>
      </c>
      <c r="H378" s="7">
        <f>IF(D378="common",0,IF(D378="rare",1,IF(D378="epic",2,IF(D378="legendary",3,4))))</f>
        <v/>
      </c>
    </row>
    <row r="379">
      <c r="A379" s="7">
        <f>LOWER(Characters!$Q77)&amp;"-s1-epic"</f>
        <v/>
      </c>
      <c r="B379" s="7">
        <f>Characters!$Q77</f>
        <v/>
      </c>
      <c r="C379" s="7" t="inlineStr">
        <is>
          <t>S1</t>
        </is>
      </c>
      <c r="D379" s="7" t="inlineStr">
        <is>
          <t>epic</t>
        </is>
      </c>
      <c r="E379" s="7">
        <f>Characters!$S77-"&amp;Characters!$Q77-"&amp;UPPER(LEFT("epic",1))</f>
        <v/>
      </c>
      <c r="F379" s="7">
        <f>IF(D379="legendary",1000,IF(D379="secret",100,""))</f>
        <v/>
      </c>
      <c r="G379" s="7" t="n">
        <v>0</v>
      </c>
      <c r="H379" s="7">
        <f>IF(D379="common",0,IF(D379="rare",1,IF(D379="epic",2,IF(D379="legendary",3,4))))</f>
        <v/>
      </c>
    </row>
    <row r="380">
      <c r="A380" s="7">
        <f>LOWER(Characters!$Q77)&amp;"-s1-legendary"</f>
        <v/>
      </c>
      <c r="B380" s="7">
        <f>Characters!$Q77</f>
        <v/>
      </c>
      <c r="C380" s="7" t="inlineStr">
        <is>
          <t>S1</t>
        </is>
      </c>
      <c r="D380" s="7" t="inlineStr">
        <is>
          <t>legendary</t>
        </is>
      </c>
      <c r="E380" s="7">
        <f>Characters!$S77-"&amp;Characters!$Q77-"&amp;UPPER(LEFT("legendary",1))</f>
        <v/>
      </c>
      <c r="F380" s="7">
        <f>IF(D380="legendary",1000,IF(D380="secret",100,""))</f>
        <v/>
      </c>
      <c r="G380" s="7" t="n">
        <v>0</v>
      </c>
      <c r="H380" s="7">
        <f>IF(D380="common",0,IF(D380="rare",1,IF(D380="epic",2,IF(D380="legendary",3,4))))</f>
        <v/>
      </c>
    </row>
    <row r="381">
      <c r="A381" s="7">
        <f>LOWER(Characters!$Q77)&amp;"-s1-secret"</f>
        <v/>
      </c>
      <c r="B381" s="7">
        <f>Characters!$Q77</f>
        <v/>
      </c>
      <c r="C381" s="7" t="inlineStr">
        <is>
          <t>S1</t>
        </is>
      </c>
      <c r="D381" s="7" t="inlineStr">
        <is>
          <t>secret</t>
        </is>
      </c>
      <c r="E381" s="7">
        <f>Characters!$S77-"&amp;Characters!$Q77-"&amp;UPPER(LEFT("secret",1))</f>
        <v/>
      </c>
      <c r="F381" s="7">
        <f>IF(D381="legendary",1000,IF(D381="secret",100,""))</f>
        <v/>
      </c>
      <c r="G381" s="7" t="n">
        <v>0</v>
      </c>
      <c r="H381" s="7">
        <f>IF(D381="common",0,IF(D381="rare",1,IF(D381="epic",2,IF(D381="legendary",3,4))))</f>
        <v/>
      </c>
    </row>
    <row r="382">
      <c r="A382" s="7">
        <f>LOWER(Characters!$Q78)&amp;"-s1-common"</f>
        <v/>
      </c>
      <c r="B382" s="7">
        <f>Characters!$Q78</f>
        <v/>
      </c>
      <c r="C382" s="7" t="inlineStr">
        <is>
          <t>S1</t>
        </is>
      </c>
      <c r="D382" s="7" t="inlineStr">
        <is>
          <t>common</t>
        </is>
      </c>
      <c r="E382" s="7">
        <f>Characters!$S78-"&amp;Characters!$Q78-"&amp;UPPER(LEFT("common",1))</f>
        <v/>
      </c>
      <c r="F382" s="7">
        <f>IF(D382="legendary",1000,IF(D382="secret",100,""))</f>
        <v/>
      </c>
      <c r="G382" s="7" t="n">
        <v>0</v>
      </c>
      <c r="H382" s="7">
        <f>IF(D382="common",0,IF(D382="rare",1,IF(D382="epic",2,IF(D382="legendary",3,4))))</f>
        <v/>
      </c>
    </row>
    <row r="383">
      <c r="A383" s="7">
        <f>LOWER(Characters!$Q78)&amp;"-s1-rare"</f>
        <v/>
      </c>
      <c r="B383" s="7">
        <f>Characters!$Q78</f>
        <v/>
      </c>
      <c r="C383" s="7" t="inlineStr">
        <is>
          <t>S1</t>
        </is>
      </c>
      <c r="D383" s="7" t="inlineStr">
        <is>
          <t>rare</t>
        </is>
      </c>
      <c r="E383" s="7">
        <f>Characters!$S78-"&amp;Characters!$Q78-"&amp;UPPER(LEFT("rare",1))</f>
        <v/>
      </c>
      <c r="F383" s="7">
        <f>IF(D383="legendary",1000,IF(D383="secret",100,""))</f>
        <v/>
      </c>
      <c r="G383" s="7" t="n">
        <v>0</v>
      </c>
      <c r="H383" s="7">
        <f>IF(D383="common",0,IF(D383="rare",1,IF(D383="epic",2,IF(D383="legendary",3,4))))</f>
        <v/>
      </c>
    </row>
    <row r="384">
      <c r="A384" s="7">
        <f>LOWER(Characters!$Q78)&amp;"-s1-epic"</f>
        <v/>
      </c>
      <c r="B384" s="7">
        <f>Characters!$Q78</f>
        <v/>
      </c>
      <c r="C384" s="7" t="inlineStr">
        <is>
          <t>S1</t>
        </is>
      </c>
      <c r="D384" s="7" t="inlineStr">
        <is>
          <t>epic</t>
        </is>
      </c>
      <c r="E384" s="7">
        <f>Characters!$S78-"&amp;Characters!$Q78-"&amp;UPPER(LEFT("epic",1))</f>
        <v/>
      </c>
      <c r="F384" s="7">
        <f>IF(D384="legendary",1000,IF(D384="secret",100,""))</f>
        <v/>
      </c>
      <c r="G384" s="7" t="n">
        <v>0</v>
      </c>
      <c r="H384" s="7">
        <f>IF(D384="common",0,IF(D384="rare",1,IF(D384="epic",2,IF(D384="legendary",3,4))))</f>
        <v/>
      </c>
    </row>
    <row r="385">
      <c r="A385" s="7">
        <f>LOWER(Characters!$Q78)&amp;"-s1-legendary"</f>
        <v/>
      </c>
      <c r="B385" s="7">
        <f>Characters!$Q78</f>
        <v/>
      </c>
      <c r="C385" s="7" t="inlineStr">
        <is>
          <t>S1</t>
        </is>
      </c>
      <c r="D385" s="7" t="inlineStr">
        <is>
          <t>legendary</t>
        </is>
      </c>
      <c r="E385" s="7">
        <f>Characters!$S78-"&amp;Characters!$Q78-"&amp;UPPER(LEFT("legendary",1))</f>
        <v/>
      </c>
      <c r="F385" s="7">
        <f>IF(D385="legendary",1000,IF(D385="secret",100,""))</f>
        <v/>
      </c>
      <c r="G385" s="7" t="n">
        <v>0</v>
      </c>
      <c r="H385" s="7">
        <f>IF(D385="common",0,IF(D385="rare",1,IF(D385="epic",2,IF(D385="legendary",3,4))))</f>
        <v/>
      </c>
    </row>
    <row r="386">
      <c r="A386" s="7">
        <f>LOWER(Characters!$Q78)&amp;"-s1-secret"</f>
        <v/>
      </c>
      <c r="B386" s="7">
        <f>Characters!$Q78</f>
        <v/>
      </c>
      <c r="C386" s="7" t="inlineStr">
        <is>
          <t>S1</t>
        </is>
      </c>
      <c r="D386" s="7" t="inlineStr">
        <is>
          <t>secret</t>
        </is>
      </c>
      <c r="E386" s="7">
        <f>Characters!$S78-"&amp;Characters!$Q78-"&amp;UPPER(LEFT("secret",1))</f>
        <v/>
      </c>
      <c r="F386" s="7">
        <f>IF(D386="legendary",1000,IF(D386="secret",100,""))</f>
        <v/>
      </c>
      <c r="G386" s="7" t="n">
        <v>0</v>
      </c>
      <c r="H386" s="7">
        <f>IF(D386="common",0,IF(D386="rare",1,IF(D386="epic",2,IF(D386="legendary",3,4))))</f>
        <v/>
      </c>
    </row>
    <row r="387">
      <c r="A387" s="7">
        <f>LOWER(Characters!$Q79)&amp;"-s1-common"</f>
        <v/>
      </c>
      <c r="B387" s="7">
        <f>Characters!$Q79</f>
        <v/>
      </c>
      <c r="C387" s="7" t="inlineStr">
        <is>
          <t>S1</t>
        </is>
      </c>
      <c r="D387" s="7" t="inlineStr">
        <is>
          <t>common</t>
        </is>
      </c>
      <c r="E387" s="7">
        <f>Characters!$S79-"&amp;Characters!$Q79-"&amp;UPPER(LEFT("common",1))</f>
        <v/>
      </c>
      <c r="F387" s="7">
        <f>IF(D387="legendary",1000,IF(D387="secret",100,""))</f>
        <v/>
      </c>
      <c r="G387" s="7" t="n">
        <v>0</v>
      </c>
      <c r="H387" s="7">
        <f>IF(D387="common",0,IF(D387="rare",1,IF(D387="epic",2,IF(D387="legendary",3,4))))</f>
        <v/>
      </c>
    </row>
    <row r="388">
      <c r="A388" s="7">
        <f>LOWER(Characters!$Q79)&amp;"-s1-rare"</f>
        <v/>
      </c>
      <c r="B388" s="7">
        <f>Characters!$Q79</f>
        <v/>
      </c>
      <c r="C388" s="7" t="inlineStr">
        <is>
          <t>S1</t>
        </is>
      </c>
      <c r="D388" s="7" t="inlineStr">
        <is>
          <t>rare</t>
        </is>
      </c>
      <c r="E388" s="7">
        <f>Characters!$S79-"&amp;Characters!$Q79-"&amp;UPPER(LEFT("rare",1))</f>
        <v/>
      </c>
      <c r="F388" s="7">
        <f>IF(D388="legendary",1000,IF(D388="secret",100,""))</f>
        <v/>
      </c>
      <c r="G388" s="7" t="n">
        <v>0</v>
      </c>
      <c r="H388" s="7">
        <f>IF(D388="common",0,IF(D388="rare",1,IF(D388="epic",2,IF(D388="legendary",3,4))))</f>
        <v/>
      </c>
    </row>
    <row r="389">
      <c r="A389" s="7">
        <f>LOWER(Characters!$Q79)&amp;"-s1-epic"</f>
        <v/>
      </c>
      <c r="B389" s="7">
        <f>Characters!$Q79</f>
        <v/>
      </c>
      <c r="C389" s="7" t="inlineStr">
        <is>
          <t>S1</t>
        </is>
      </c>
      <c r="D389" s="7" t="inlineStr">
        <is>
          <t>epic</t>
        </is>
      </c>
      <c r="E389" s="7">
        <f>Characters!$S79-"&amp;Characters!$Q79-"&amp;UPPER(LEFT("epic",1))</f>
        <v/>
      </c>
      <c r="F389" s="7">
        <f>IF(D389="legendary",1000,IF(D389="secret",100,""))</f>
        <v/>
      </c>
      <c r="G389" s="7" t="n">
        <v>0</v>
      </c>
      <c r="H389" s="7">
        <f>IF(D389="common",0,IF(D389="rare",1,IF(D389="epic",2,IF(D389="legendary",3,4))))</f>
        <v/>
      </c>
    </row>
    <row r="390">
      <c r="A390" s="7">
        <f>LOWER(Characters!$Q79)&amp;"-s1-legendary"</f>
        <v/>
      </c>
      <c r="B390" s="7">
        <f>Characters!$Q79</f>
        <v/>
      </c>
      <c r="C390" s="7" t="inlineStr">
        <is>
          <t>S1</t>
        </is>
      </c>
      <c r="D390" s="7" t="inlineStr">
        <is>
          <t>legendary</t>
        </is>
      </c>
      <c r="E390" s="7">
        <f>Characters!$S79-"&amp;Characters!$Q79-"&amp;UPPER(LEFT("legendary",1))</f>
        <v/>
      </c>
      <c r="F390" s="7">
        <f>IF(D390="legendary",1000,IF(D390="secret",100,""))</f>
        <v/>
      </c>
      <c r="G390" s="7" t="n">
        <v>0</v>
      </c>
      <c r="H390" s="7">
        <f>IF(D390="common",0,IF(D390="rare",1,IF(D390="epic",2,IF(D390="legendary",3,4))))</f>
        <v/>
      </c>
    </row>
    <row r="391">
      <c r="A391" s="7">
        <f>LOWER(Characters!$Q79)&amp;"-s1-secret"</f>
        <v/>
      </c>
      <c r="B391" s="7">
        <f>Characters!$Q79</f>
        <v/>
      </c>
      <c r="C391" s="7" t="inlineStr">
        <is>
          <t>S1</t>
        </is>
      </c>
      <c r="D391" s="7" t="inlineStr">
        <is>
          <t>secret</t>
        </is>
      </c>
      <c r="E391" s="7">
        <f>Characters!$S79-"&amp;Characters!$Q79-"&amp;UPPER(LEFT("secret",1))</f>
        <v/>
      </c>
      <c r="F391" s="7">
        <f>IF(D391="legendary",1000,IF(D391="secret",100,""))</f>
        <v/>
      </c>
      <c r="G391" s="7" t="n">
        <v>0</v>
      </c>
      <c r="H391" s="7">
        <f>IF(D391="common",0,IF(D391="rare",1,IF(D391="epic",2,IF(D391="legendary",3,4))))</f>
        <v/>
      </c>
    </row>
    <row r="392">
      <c r="A392" s="7">
        <f>LOWER(Characters!$Q80)&amp;"-s1-common"</f>
        <v/>
      </c>
      <c r="B392" s="7">
        <f>Characters!$Q80</f>
        <v/>
      </c>
      <c r="C392" s="7" t="inlineStr">
        <is>
          <t>S1</t>
        </is>
      </c>
      <c r="D392" s="7" t="inlineStr">
        <is>
          <t>common</t>
        </is>
      </c>
      <c r="E392" s="7">
        <f>Characters!$S80-"&amp;Characters!$Q80-"&amp;UPPER(LEFT("common",1))</f>
        <v/>
      </c>
      <c r="F392" s="7">
        <f>IF(D392="legendary",1000,IF(D392="secret",100,""))</f>
        <v/>
      </c>
      <c r="G392" s="7" t="n">
        <v>0</v>
      </c>
      <c r="H392" s="7">
        <f>IF(D392="common",0,IF(D392="rare",1,IF(D392="epic",2,IF(D392="legendary",3,4))))</f>
        <v/>
      </c>
    </row>
    <row r="393">
      <c r="A393" s="7">
        <f>LOWER(Characters!$Q80)&amp;"-s1-rare"</f>
        <v/>
      </c>
      <c r="B393" s="7">
        <f>Characters!$Q80</f>
        <v/>
      </c>
      <c r="C393" s="7" t="inlineStr">
        <is>
          <t>S1</t>
        </is>
      </c>
      <c r="D393" s="7" t="inlineStr">
        <is>
          <t>rare</t>
        </is>
      </c>
      <c r="E393" s="7">
        <f>Characters!$S80-"&amp;Characters!$Q80-"&amp;UPPER(LEFT("rare",1))</f>
        <v/>
      </c>
      <c r="F393" s="7">
        <f>IF(D393="legendary",1000,IF(D393="secret",100,""))</f>
        <v/>
      </c>
      <c r="G393" s="7" t="n">
        <v>0</v>
      </c>
      <c r="H393" s="7">
        <f>IF(D393="common",0,IF(D393="rare",1,IF(D393="epic",2,IF(D393="legendary",3,4))))</f>
        <v/>
      </c>
    </row>
    <row r="394">
      <c r="A394" s="7">
        <f>LOWER(Characters!$Q80)&amp;"-s1-epic"</f>
        <v/>
      </c>
      <c r="B394" s="7">
        <f>Characters!$Q80</f>
        <v/>
      </c>
      <c r="C394" s="7" t="inlineStr">
        <is>
          <t>S1</t>
        </is>
      </c>
      <c r="D394" s="7" t="inlineStr">
        <is>
          <t>epic</t>
        </is>
      </c>
      <c r="E394" s="7">
        <f>Characters!$S80-"&amp;Characters!$Q80-"&amp;UPPER(LEFT("epic",1))</f>
        <v/>
      </c>
      <c r="F394" s="7">
        <f>IF(D394="legendary",1000,IF(D394="secret",100,""))</f>
        <v/>
      </c>
      <c r="G394" s="7" t="n">
        <v>0</v>
      </c>
      <c r="H394" s="7">
        <f>IF(D394="common",0,IF(D394="rare",1,IF(D394="epic",2,IF(D394="legendary",3,4))))</f>
        <v/>
      </c>
    </row>
    <row r="395">
      <c r="A395" s="7">
        <f>LOWER(Characters!$Q80)&amp;"-s1-legendary"</f>
        <v/>
      </c>
      <c r="B395" s="7">
        <f>Characters!$Q80</f>
        <v/>
      </c>
      <c r="C395" s="7" t="inlineStr">
        <is>
          <t>S1</t>
        </is>
      </c>
      <c r="D395" s="7" t="inlineStr">
        <is>
          <t>legendary</t>
        </is>
      </c>
      <c r="E395" s="7">
        <f>Characters!$S80-"&amp;Characters!$Q80-"&amp;UPPER(LEFT("legendary",1))</f>
        <v/>
      </c>
      <c r="F395" s="7">
        <f>IF(D395="legendary",1000,IF(D395="secret",100,""))</f>
        <v/>
      </c>
      <c r="G395" s="7" t="n">
        <v>0</v>
      </c>
      <c r="H395" s="7">
        <f>IF(D395="common",0,IF(D395="rare",1,IF(D395="epic",2,IF(D395="legendary",3,4))))</f>
        <v/>
      </c>
    </row>
    <row r="396">
      <c r="A396" s="7">
        <f>LOWER(Characters!$Q80)&amp;"-s1-secret"</f>
        <v/>
      </c>
      <c r="B396" s="7">
        <f>Characters!$Q80</f>
        <v/>
      </c>
      <c r="C396" s="7" t="inlineStr">
        <is>
          <t>S1</t>
        </is>
      </c>
      <c r="D396" s="7" t="inlineStr">
        <is>
          <t>secret</t>
        </is>
      </c>
      <c r="E396" s="7">
        <f>Characters!$S80-"&amp;Characters!$Q80-"&amp;UPPER(LEFT("secret",1))</f>
        <v/>
      </c>
      <c r="F396" s="7">
        <f>IF(D396="legendary",1000,IF(D396="secret",100,""))</f>
        <v/>
      </c>
      <c r="G396" s="7" t="n">
        <v>0</v>
      </c>
      <c r="H396" s="7">
        <f>IF(D396="common",0,IF(D396="rare",1,IF(D396="epic",2,IF(D396="legendary",3,4))))</f>
        <v/>
      </c>
    </row>
    <row r="397">
      <c r="A397" s="7">
        <f>LOWER(Characters!$Q81)&amp;"-s1-common"</f>
        <v/>
      </c>
      <c r="B397" s="7">
        <f>Characters!$Q81</f>
        <v/>
      </c>
      <c r="C397" s="7" t="inlineStr">
        <is>
          <t>S1</t>
        </is>
      </c>
      <c r="D397" s="7" t="inlineStr">
        <is>
          <t>common</t>
        </is>
      </c>
      <c r="E397" s="7">
        <f>Characters!$S81-"&amp;Characters!$Q81-"&amp;UPPER(LEFT("common",1))</f>
        <v/>
      </c>
      <c r="F397" s="7">
        <f>IF(D397="legendary",1000,IF(D397="secret",100,""))</f>
        <v/>
      </c>
      <c r="G397" s="7" t="n">
        <v>0</v>
      </c>
      <c r="H397" s="7">
        <f>IF(D397="common",0,IF(D397="rare",1,IF(D397="epic",2,IF(D397="legendary",3,4))))</f>
        <v/>
      </c>
    </row>
    <row r="398">
      <c r="A398" s="7">
        <f>LOWER(Characters!$Q81)&amp;"-s1-rare"</f>
        <v/>
      </c>
      <c r="B398" s="7">
        <f>Characters!$Q81</f>
        <v/>
      </c>
      <c r="C398" s="7" t="inlineStr">
        <is>
          <t>S1</t>
        </is>
      </c>
      <c r="D398" s="7" t="inlineStr">
        <is>
          <t>rare</t>
        </is>
      </c>
      <c r="E398" s="7">
        <f>Characters!$S81-"&amp;Characters!$Q81-"&amp;UPPER(LEFT("rare",1))</f>
        <v/>
      </c>
      <c r="F398" s="7">
        <f>IF(D398="legendary",1000,IF(D398="secret",100,""))</f>
        <v/>
      </c>
      <c r="G398" s="7" t="n">
        <v>0</v>
      </c>
      <c r="H398" s="7">
        <f>IF(D398="common",0,IF(D398="rare",1,IF(D398="epic",2,IF(D398="legendary",3,4))))</f>
        <v/>
      </c>
    </row>
    <row r="399">
      <c r="A399" s="7">
        <f>LOWER(Characters!$Q81)&amp;"-s1-epic"</f>
        <v/>
      </c>
      <c r="B399" s="7">
        <f>Characters!$Q81</f>
        <v/>
      </c>
      <c r="C399" s="7" t="inlineStr">
        <is>
          <t>S1</t>
        </is>
      </c>
      <c r="D399" s="7" t="inlineStr">
        <is>
          <t>epic</t>
        </is>
      </c>
      <c r="E399" s="7">
        <f>Characters!$S81-"&amp;Characters!$Q81-"&amp;UPPER(LEFT("epic",1))</f>
        <v/>
      </c>
      <c r="F399" s="7">
        <f>IF(D399="legendary",1000,IF(D399="secret",100,""))</f>
        <v/>
      </c>
      <c r="G399" s="7" t="n">
        <v>0</v>
      </c>
      <c r="H399" s="7">
        <f>IF(D399="common",0,IF(D399="rare",1,IF(D399="epic",2,IF(D399="legendary",3,4))))</f>
        <v/>
      </c>
    </row>
    <row r="400">
      <c r="A400" s="7">
        <f>LOWER(Characters!$Q81)&amp;"-s1-legendary"</f>
        <v/>
      </c>
      <c r="B400" s="7">
        <f>Characters!$Q81</f>
        <v/>
      </c>
      <c r="C400" s="7" t="inlineStr">
        <is>
          <t>S1</t>
        </is>
      </c>
      <c r="D400" s="7" t="inlineStr">
        <is>
          <t>legendary</t>
        </is>
      </c>
      <c r="E400" s="7">
        <f>Characters!$S81-"&amp;Characters!$Q81-"&amp;UPPER(LEFT("legendary",1))</f>
        <v/>
      </c>
      <c r="F400" s="7">
        <f>IF(D400="legendary",1000,IF(D400="secret",100,""))</f>
        <v/>
      </c>
      <c r="G400" s="7" t="n">
        <v>0</v>
      </c>
      <c r="H400" s="7">
        <f>IF(D400="common",0,IF(D400="rare",1,IF(D400="epic",2,IF(D400="legendary",3,4))))</f>
        <v/>
      </c>
    </row>
    <row r="401">
      <c r="A401" s="7">
        <f>LOWER(Characters!$Q81)&amp;"-s1-secret"</f>
        <v/>
      </c>
      <c r="B401" s="7">
        <f>Characters!$Q81</f>
        <v/>
      </c>
      <c r="C401" s="7" t="inlineStr">
        <is>
          <t>S1</t>
        </is>
      </c>
      <c r="D401" s="7" t="inlineStr">
        <is>
          <t>secret</t>
        </is>
      </c>
      <c r="E401" s="7">
        <f>Characters!$S81-"&amp;Characters!$Q81-"&amp;UPPER(LEFT("secret",1))</f>
        <v/>
      </c>
      <c r="F401" s="7">
        <f>IF(D401="legendary",1000,IF(D401="secret",100,""))</f>
        <v/>
      </c>
      <c r="G401" s="7" t="n">
        <v>0</v>
      </c>
      <c r="H401" s="7">
        <f>IF(D401="common",0,IF(D401="rare",1,IF(D401="epic",2,IF(D401="legendary",3,4))))</f>
        <v/>
      </c>
    </row>
    <row r="402">
      <c r="A402" s="7">
        <f>LOWER(Characters!$Q82)&amp;"-s1-common"</f>
        <v/>
      </c>
      <c r="B402" s="7">
        <f>Characters!$Q82</f>
        <v/>
      </c>
      <c r="C402" s="7" t="inlineStr">
        <is>
          <t>S1</t>
        </is>
      </c>
      <c r="D402" s="7" t="inlineStr">
        <is>
          <t>common</t>
        </is>
      </c>
      <c r="E402" s="7">
        <f>Characters!$S82-"&amp;Characters!$Q82-"&amp;UPPER(LEFT("common",1))</f>
        <v/>
      </c>
      <c r="F402" s="7">
        <f>IF(D402="legendary",1000,IF(D402="secret",100,""))</f>
        <v/>
      </c>
      <c r="G402" s="7" t="n">
        <v>0</v>
      </c>
      <c r="H402" s="7">
        <f>IF(D402="common",0,IF(D402="rare",1,IF(D402="epic",2,IF(D402="legendary",3,4))))</f>
        <v/>
      </c>
    </row>
    <row r="403">
      <c r="A403" s="7">
        <f>LOWER(Characters!$Q82)&amp;"-s1-rare"</f>
        <v/>
      </c>
      <c r="B403" s="7">
        <f>Characters!$Q82</f>
        <v/>
      </c>
      <c r="C403" s="7" t="inlineStr">
        <is>
          <t>S1</t>
        </is>
      </c>
      <c r="D403" s="7" t="inlineStr">
        <is>
          <t>rare</t>
        </is>
      </c>
      <c r="E403" s="7">
        <f>Characters!$S82-"&amp;Characters!$Q82-"&amp;UPPER(LEFT("rare",1))</f>
        <v/>
      </c>
      <c r="F403" s="7">
        <f>IF(D403="legendary",1000,IF(D403="secret",100,""))</f>
        <v/>
      </c>
      <c r="G403" s="7" t="n">
        <v>0</v>
      </c>
      <c r="H403" s="7">
        <f>IF(D403="common",0,IF(D403="rare",1,IF(D403="epic",2,IF(D403="legendary",3,4))))</f>
        <v/>
      </c>
    </row>
    <row r="404">
      <c r="A404" s="7">
        <f>LOWER(Characters!$Q82)&amp;"-s1-epic"</f>
        <v/>
      </c>
      <c r="B404" s="7">
        <f>Characters!$Q82</f>
        <v/>
      </c>
      <c r="C404" s="7" t="inlineStr">
        <is>
          <t>S1</t>
        </is>
      </c>
      <c r="D404" s="7" t="inlineStr">
        <is>
          <t>epic</t>
        </is>
      </c>
      <c r="E404" s="7">
        <f>Characters!$S82-"&amp;Characters!$Q82-"&amp;UPPER(LEFT("epic",1))</f>
        <v/>
      </c>
      <c r="F404" s="7">
        <f>IF(D404="legendary",1000,IF(D404="secret",100,""))</f>
        <v/>
      </c>
      <c r="G404" s="7" t="n">
        <v>0</v>
      </c>
      <c r="H404" s="7">
        <f>IF(D404="common",0,IF(D404="rare",1,IF(D404="epic",2,IF(D404="legendary",3,4))))</f>
        <v/>
      </c>
    </row>
    <row r="405">
      <c r="A405" s="7">
        <f>LOWER(Characters!$Q82)&amp;"-s1-legendary"</f>
        <v/>
      </c>
      <c r="B405" s="7">
        <f>Characters!$Q82</f>
        <v/>
      </c>
      <c r="C405" s="7" t="inlineStr">
        <is>
          <t>S1</t>
        </is>
      </c>
      <c r="D405" s="7" t="inlineStr">
        <is>
          <t>legendary</t>
        </is>
      </c>
      <c r="E405" s="7">
        <f>Characters!$S82-"&amp;Characters!$Q82-"&amp;UPPER(LEFT("legendary",1))</f>
        <v/>
      </c>
      <c r="F405" s="7">
        <f>IF(D405="legendary",1000,IF(D405="secret",100,""))</f>
        <v/>
      </c>
      <c r="G405" s="7" t="n">
        <v>0</v>
      </c>
      <c r="H405" s="7">
        <f>IF(D405="common",0,IF(D405="rare",1,IF(D405="epic",2,IF(D405="legendary",3,4))))</f>
        <v/>
      </c>
    </row>
    <row r="406">
      <c r="A406" s="7">
        <f>LOWER(Characters!$Q82)&amp;"-s1-secret"</f>
        <v/>
      </c>
      <c r="B406" s="7">
        <f>Characters!$Q82</f>
        <v/>
      </c>
      <c r="C406" s="7" t="inlineStr">
        <is>
          <t>S1</t>
        </is>
      </c>
      <c r="D406" s="7" t="inlineStr">
        <is>
          <t>secret</t>
        </is>
      </c>
      <c r="E406" s="7">
        <f>Characters!$S82-"&amp;Characters!$Q82-"&amp;UPPER(LEFT("secret",1))</f>
        <v/>
      </c>
      <c r="F406" s="7">
        <f>IF(D406="legendary",1000,IF(D406="secret",100,""))</f>
        <v/>
      </c>
      <c r="G406" s="7" t="n">
        <v>0</v>
      </c>
      <c r="H406" s="7">
        <f>IF(D406="common",0,IF(D406="rare",1,IF(D406="epic",2,IF(D406="legendary",3,4))))</f>
        <v/>
      </c>
    </row>
    <row r="407">
      <c r="A407" s="7">
        <f>LOWER(Characters!$Q83)&amp;"-s1-common"</f>
        <v/>
      </c>
      <c r="B407" s="7">
        <f>Characters!$Q83</f>
        <v/>
      </c>
      <c r="C407" s="7" t="inlineStr">
        <is>
          <t>S1</t>
        </is>
      </c>
      <c r="D407" s="7" t="inlineStr">
        <is>
          <t>common</t>
        </is>
      </c>
      <c r="E407" s="7">
        <f>Characters!$S83-"&amp;Characters!$Q83-"&amp;UPPER(LEFT("common",1))</f>
        <v/>
      </c>
      <c r="F407" s="7">
        <f>IF(D407="legendary",1000,IF(D407="secret",100,""))</f>
        <v/>
      </c>
      <c r="G407" s="7" t="n">
        <v>0</v>
      </c>
      <c r="H407" s="7">
        <f>IF(D407="common",0,IF(D407="rare",1,IF(D407="epic",2,IF(D407="legendary",3,4))))</f>
        <v/>
      </c>
    </row>
    <row r="408">
      <c r="A408" s="7">
        <f>LOWER(Characters!$Q83)&amp;"-s1-rare"</f>
        <v/>
      </c>
      <c r="B408" s="7">
        <f>Characters!$Q83</f>
        <v/>
      </c>
      <c r="C408" s="7" t="inlineStr">
        <is>
          <t>S1</t>
        </is>
      </c>
      <c r="D408" s="7" t="inlineStr">
        <is>
          <t>rare</t>
        </is>
      </c>
      <c r="E408" s="7">
        <f>Characters!$S83-"&amp;Characters!$Q83-"&amp;UPPER(LEFT("rare",1))</f>
        <v/>
      </c>
      <c r="F408" s="7">
        <f>IF(D408="legendary",1000,IF(D408="secret",100,""))</f>
        <v/>
      </c>
      <c r="G408" s="7" t="n">
        <v>0</v>
      </c>
      <c r="H408" s="7">
        <f>IF(D408="common",0,IF(D408="rare",1,IF(D408="epic",2,IF(D408="legendary",3,4))))</f>
        <v/>
      </c>
    </row>
    <row r="409">
      <c r="A409" s="7">
        <f>LOWER(Characters!$Q83)&amp;"-s1-epic"</f>
        <v/>
      </c>
      <c r="B409" s="7">
        <f>Characters!$Q83</f>
        <v/>
      </c>
      <c r="C409" s="7" t="inlineStr">
        <is>
          <t>S1</t>
        </is>
      </c>
      <c r="D409" s="7" t="inlineStr">
        <is>
          <t>epic</t>
        </is>
      </c>
      <c r="E409" s="7">
        <f>Characters!$S83-"&amp;Characters!$Q83-"&amp;UPPER(LEFT("epic",1))</f>
        <v/>
      </c>
      <c r="F409" s="7">
        <f>IF(D409="legendary",1000,IF(D409="secret",100,""))</f>
        <v/>
      </c>
      <c r="G409" s="7" t="n">
        <v>0</v>
      </c>
      <c r="H409" s="7">
        <f>IF(D409="common",0,IF(D409="rare",1,IF(D409="epic",2,IF(D409="legendary",3,4))))</f>
        <v/>
      </c>
    </row>
    <row r="410">
      <c r="A410" s="7">
        <f>LOWER(Characters!$Q83)&amp;"-s1-legendary"</f>
        <v/>
      </c>
      <c r="B410" s="7">
        <f>Characters!$Q83</f>
        <v/>
      </c>
      <c r="C410" s="7" t="inlineStr">
        <is>
          <t>S1</t>
        </is>
      </c>
      <c r="D410" s="7" t="inlineStr">
        <is>
          <t>legendary</t>
        </is>
      </c>
      <c r="E410" s="7">
        <f>Characters!$S83-"&amp;Characters!$Q83-"&amp;UPPER(LEFT("legendary",1))</f>
        <v/>
      </c>
      <c r="F410" s="7">
        <f>IF(D410="legendary",1000,IF(D410="secret",100,""))</f>
        <v/>
      </c>
      <c r="G410" s="7" t="n">
        <v>0</v>
      </c>
      <c r="H410" s="7">
        <f>IF(D410="common",0,IF(D410="rare",1,IF(D410="epic",2,IF(D410="legendary",3,4))))</f>
        <v/>
      </c>
    </row>
    <row r="411">
      <c r="A411" s="7">
        <f>LOWER(Characters!$Q83)&amp;"-s1-secret"</f>
        <v/>
      </c>
      <c r="B411" s="7">
        <f>Characters!$Q83</f>
        <v/>
      </c>
      <c r="C411" s="7" t="inlineStr">
        <is>
          <t>S1</t>
        </is>
      </c>
      <c r="D411" s="7" t="inlineStr">
        <is>
          <t>secret</t>
        </is>
      </c>
      <c r="E411" s="7">
        <f>Characters!$S83-"&amp;Characters!$Q83-"&amp;UPPER(LEFT("secret",1))</f>
        <v/>
      </c>
      <c r="F411" s="7">
        <f>IF(D411="legendary",1000,IF(D411="secret",100,""))</f>
        <v/>
      </c>
      <c r="G411" s="7" t="n">
        <v>0</v>
      </c>
      <c r="H411" s="7">
        <f>IF(D411="common",0,IF(D411="rare",1,IF(D411="epic",2,IF(D411="legendary",3,4))))</f>
        <v/>
      </c>
    </row>
    <row r="412">
      <c r="A412" s="7">
        <f>LOWER(Characters!$Q84)&amp;"-s1-common"</f>
        <v/>
      </c>
      <c r="B412" s="7">
        <f>Characters!$Q84</f>
        <v/>
      </c>
      <c r="C412" s="7" t="inlineStr">
        <is>
          <t>S1</t>
        </is>
      </c>
      <c r="D412" s="7" t="inlineStr">
        <is>
          <t>common</t>
        </is>
      </c>
      <c r="E412" s="7">
        <f>Characters!$S84-"&amp;Characters!$Q84-"&amp;UPPER(LEFT("common",1))</f>
        <v/>
      </c>
      <c r="F412" s="7">
        <f>IF(D412="legendary",1000,IF(D412="secret",100,""))</f>
        <v/>
      </c>
      <c r="G412" s="7" t="n">
        <v>0</v>
      </c>
      <c r="H412" s="7">
        <f>IF(D412="common",0,IF(D412="rare",1,IF(D412="epic",2,IF(D412="legendary",3,4))))</f>
        <v/>
      </c>
    </row>
    <row r="413">
      <c r="A413" s="7">
        <f>LOWER(Characters!$Q84)&amp;"-s1-rare"</f>
        <v/>
      </c>
      <c r="B413" s="7">
        <f>Characters!$Q84</f>
        <v/>
      </c>
      <c r="C413" s="7" t="inlineStr">
        <is>
          <t>S1</t>
        </is>
      </c>
      <c r="D413" s="7" t="inlineStr">
        <is>
          <t>rare</t>
        </is>
      </c>
      <c r="E413" s="7">
        <f>Characters!$S84-"&amp;Characters!$Q84-"&amp;UPPER(LEFT("rare",1))</f>
        <v/>
      </c>
      <c r="F413" s="7">
        <f>IF(D413="legendary",1000,IF(D413="secret",100,""))</f>
        <v/>
      </c>
      <c r="G413" s="7" t="n">
        <v>0</v>
      </c>
      <c r="H413" s="7">
        <f>IF(D413="common",0,IF(D413="rare",1,IF(D413="epic",2,IF(D413="legendary",3,4))))</f>
        <v/>
      </c>
    </row>
    <row r="414">
      <c r="A414" s="7">
        <f>LOWER(Characters!$Q84)&amp;"-s1-epic"</f>
        <v/>
      </c>
      <c r="B414" s="7">
        <f>Characters!$Q84</f>
        <v/>
      </c>
      <c r="C414" s="7" t="inlineStr">
        <is>
          <t>S1</t>
        </is>
      </c>
      <c r="D414" s="7" t="inlineStr">
        <is>
          <t>epic</t>
        </is>
      </c>
      <c r="E414" s="7">
        <f>Characters!$S84-"&amp;Characters!$Q84-"&amp;UPPER(LEFT("epic",1))</f>
        <v/>
      </c>
      <c r="F414" s="7">
        <f>IF(D414="legendary",1000,IF(D414="secret",100,""))</f>
        <v/>
      </c>
      <c r="G414" s="7" t="n">
        <v>0</v>
      </c>
      <c r="H414" s="7">
        <f>IF(D414="common",0,IF(D414="rare",1,IF(D414="epic",2,IF(D414="legendary",3,4))))</f>
        <v/>
      </c>
    </row>
    <row r="415">
      <c r="A415" s="7">
        <f>LOWER(Characters!$Q84)&amp;"-s1-legendary"</f>
        <v/>
      </c>
      <c r="B415" s="7">
        <f>Characters!$Q84</f>
        <v/>
      </c>
      <c r="C415" s="7" t="inlineStr">
        <is>
          <t>S1</t>
        </is>
      </c>
      <c r="D415" s="7" t="inlineStr">
        <is>
          <t>legendary</t>
        </is>
      </c>
      <c r="E415" s="7">
        <f>Characters!$S84-"&amp;Characters!$Q84-"&amp;UPPER(LEFT("legendary",1))</f>
        <v/>
      </c>
      <c r="F415" s="7">
        <f>IF(D415="legendary",1000,IF(D415="secret",100,""))</f>
        <v/>
      </c>
      <c r="G415" s="7" t="n">
        <v>0</v>
      </c>
      <c r="H415" s="7">
        <f>IF(D415="common",0,IF(D415="rare",1,IF(D415="epic",2,IF(D415="legendary",3,4))))</f>
        <v/>
      </c>
    </row>
    <row r="416">
      <c r="A416" s="7">
        <f>LOWER(Characters!$Q84)&amp;"-s1-secret"</f>
        <v/>
      </c>
      <c r="B416" s="7">
        <f>Characters!$Q84</f>
        <v/>
      </c>
      <c r="C416" s="7" t="inlineStr">
        <is>
          <t>S1</t>
        </is>
      </c>
      <c r="D416" s="7" t="inlineStr">
        <is>
          <t>secret</t>
        </is>
      </c>
      <c r="E416" s="7">
        <f>Characters!$S84-"&amp;Characters!$Q84-"&amp;UPPER(LEFT("secret",1))</f>
        <v/>
      </c>
      <c r="F416" s="7">
        <f>IF(D416="legendary",1000,IF(D416="secret",100,""))</f>
        <v/>
      </c>
      <c r="G416" s="7" t="n">
        <v>0</v>
      </c>
      <c r="H416" s="7">
        <f>IF(D416="common",0,IF(D416="rare",1,IF(D416="epic",2,IF(D416="legendary",3,4))))</f>
        <v/>
      </c>
    </row>
    <row r="417">
      <c r="A417" s="7">
        <f>LOWER(Characters!$Q85)&amp;"-s1-common"</f>
        <v/>
      </c>
      <c r="B417" s="7">
        <f>Characters!$Q85</f>
        <v/>
      </c>
      <c r="C417" s="7" t="inlineStr">
        <is>
          <t>S1</t>
        </is>
      </c>
      <c r="D417" s="7" t="inlineStr">
        <is>
          <t>common</t>
        </is>
      </c>
      <c r="E417" s="7">
        <f>Characters!$S85-"&amp;Characters!$Q85-"&amp;UPPER(LEFT("common",1))</f>
        <v/>
      </c>
      <c r="F417" s="7">
        <f>IF(D417="legendary",1000,IF(D417="secret",100,""))</f>
        <v/>
      </c>
      <c r="G417" s="7" t="n">
        <v>0</v>
      </c>
      <c r="H417" s="7">
        <f>IF(D417="common",0,IF(D417="rare",1,IF(D417="epic",2,IF(D417="legendary",3,4))))</f>
        <v/>
      </c>
    </row>
    <row r="418">
      <c r="A418" s="7">
        <f>LOWER(Characters!$Q85)&amp;"-s1-rare"</f>
        <v/>
      </c>
      <c r="B418" s="7">
        <f>Characters!$Q85</f>
        <v/>
      </c>
      <c r="C418" s="7" t="inlineStr">
        <is>
          <t>S1</t>
        </is>
      </c>
      <c r="D418" s="7" t="inlineStr">
        <is>
          <t>rare</t>
        </is>
      </c>
      <c r="E418" s="7">
        <f>Characters!$S85-"&amp;Characters!$Q85-"&amp;UPPER(LEFT("rare",1))</f>
        <v/>
      </c>
      <c r="F418" s="7">
        <f>IF(D418="legendary",1000,IF(D418="secret",100,""))</f>
        <v/>
      </c>
      <c r="G418" s="7" t="n">
        <v>0</v>
      </c>
      <c r="H418" s="7">
        <f>IF(D418="common",0,IF(D418="rare",1,IF(D418="epic",2,IF(D418="legendary",3,4))))</f>
        <v/>
      </c>
    </row>
    <row r="419">
      <c r="A419" s="7">
        <f>LOWER(Characters!$Q85)&amp;"-s1-epic"</f>
        <v/>
      </c>
      <c r="B419" s="7">
        <f>Characters!$Q85</f>
        <v/>
      </c>
      <c r="C419" s="7" t="inlineStr">
        <is>
          <t>S1</t>
        </is>
      </c>
      <c r="D419" s="7" t="inlineStr">
        <is>
          <t>epic</t>
        </is>
      </c>
      <c r="E419" s="7">
        <f>Characters!$S85-"&amp;Characters!$Q85-"&amp;UPPER(LEFT("epic",1))</f>
        <v/>
      </c>
      <c r="F419" s="7">
        <f>IF(D419="legendary",1000,IF(D419="secret",100,""))</f>
        <v/>
      </c>
      <c r="G419" s="7" t="n">
        <v>0</v>
      </c>
      <c r="H419" s="7">
        <f>IF(D419="common",0,IF(D419="rare",1,IF(D419="epic",2,IF(D419="legendary",3,4))))</f>
        <v/>
      </c>
    </row>
    <row r="420">
      <c r="A420" s="7">
        <f>LOWER(Characters!$Q85)&amp;"-s1-legendary"</f>
        <v/>
      </c>
      <c r="B420" s="7">
        <f>Characters!$Q85</f>
        <v/>
      </c>
      <c r="C420" s="7" t="inlineStr">
        <is>
          <t>S1</t>
        </is>
      </c>
      <c r="D420" s="7" t="inlineStr">
        <is>
          <t>legendary</t>
        </is>
      </c>
      <c r="E420" s="7">
        <f>Characters!$S85-"&amp;Characters!$Q85-"&amp;UPPER(LEFT("legendary",1))</f>
        <v/>
      </c>
      <c r="F420" s="7">
        <f>IF(D420="legendary",1000,IF(D420="secret",100,""))</f>
        <v/>
      </c>
      <c r="G420" s="7" t="n">
        <v>0</v>
      </c>
      <c r="H420" s="7">
        <f>IF(D420="common",0,IF(D420="rare",1,IF(D420="epic",2,IF(D420="legendary",3,4))))</f>
        <v/>
      </c>
    </row>
    <row r="421">
      <c r="A421" s="7">
        <f>LOWER(Characters!$Q85)&amp;"-s1-secret"</f>
        <v/>
      </c>
      <c r="B421" s="7">
        <f>Characters!$Q85</f>
        <v/>
      </c>
      <c r="C421" s="7" t="inlineStr">
        <is>
          <t>S1</t>
        </is>
      </c>
      <c r="D421" s="7" t="inlineStr">
        <is>
          <t>secret</t>
        </is>
      </c>
      <c r="E421" s="7">
        <f>Characters!$S85-"&amp;Characters!$Q85-"&amp;UPPER(LEFT("secret",1))</f>
        <v/>
      </c>
      <c r="F421" s="7">
        <f>IF(D421="legendary",1000,IF(D421="secret",100,""))</f>
        <v/>
      </c>
      <c r="G421" s="7" t="n">
        <v>0</v>
      </c>
      <c r="H421" s="7">
        <f>IF(D421="common",0,IF(D421="rare",1,IF(D421="epic",2,IF(D421="legendary",3,4))))</f>
        <v/>
      </c>
    </row>
    <row r="422">
      <c r="A422" s="7">
        <f>LOWER(Characters!$Q86)&amp;"-s1-common"</f>
        <v/>
      </c>
      <c r="B422" s="7">
        <f>Characters!$Q86</f>
        <v/>
      </c>
      <c r="C422" s="7" t="inlineStr">
        <is>
          <t>S1</t>
        </is>
      </c>
      <c r="D422" s="7" t="inlineStr">
        <is>
          <t>common</t>
        </is>
      </c>
      <c r="E422" s="7">
        <f>Characters!$S86-"&amp;Characters!$Q86-"&amp;UPPER(LEFT("common",1))</f>
        <v/>
      </c>
      <c r="F422" s="7">
        <f>IF(D422="legendary",1000,IF(D422="secret",100,""))</f>
        <v/>
      </c>
      <c r="G422" s="7" t="n">
        <v>0</v>
      </c>
      <c r="H422" s="7">
        <f>IF(D422="common",0,IF(D422="rare",1,IF(D422="epic",2,IF(D422="legendary",3,4))))</f>
        <v/>
      </c>
    </row>
    <row r="423">
      <c r="A423" s="7">
        <f>LOWER(Characters!$Q86)&amp;"-s1-rare"</f>
        <v/>
      </c>
      <c r="B423" s="7">
        <f>Characters!$Q86</f>
        <v/>
      </c>
      <c r="C423" s="7" t="inlineStr">
        <is>
          <t>S1</t>
        </is>
      </c>
      <c r="D423" s="7" t="inlineStr">
        <is>
          <t>rare</t>
        </is>
      </c>
      <c r="E423" s="7">
        <f>Characters!$S86-"&amp;Characters!$Q86-"&amp;UPPER(LEFT("rare",1))</f>
        <v/>
      </c>
      <c r="F423" s="7">
        <f>IF(D423="legendary",1000,IF(D423="secret",100,""))</f>
        <v/>
      </c>
      <c r="G423" s="7" t="n">
        <v>0</v>
      </c>
      <c r="H423" s="7">
        <f>IF(D423="common",0,IF(D423="rare",1,IF(D423="epic",2,IF(D423="legendary",3,4))))</f>
        <v/>
      </c>
    </row>
    <row r="424">
      <c r="A424" s="7">
        <f>LOWER(Characters!$Q86)&amp;"-s1-epic"</f>
        <v/>
      </c>
      <c r="B424" s="7">
        <f>Characters!$Q86</f>
        <v/>
      </c>
      <c r="C424" s="7" t="inlineStr">
        <is>
          <t>S1</t>
        </is>
      </c>
      <c r="D424" s="7" t="inlineStr">
        <is>
          <t>epic</t>
        </is>
      </c>
      <c r="E424" s="7">
        <f>Characters!$S86-"&amp;Characters!$Q86-"&amp;UPPER(LEFT("epic",1))</f>
        <v/>
      </c>
      <c r="F424" s="7">
        <f>IF(D424="legendary",1000,IF(D424="secret",100,""))</f>
        <v/>
      </c>
      <c r="G424" s="7" t="n">
        <v>0</v>
      </c>
      <c r="H424" s="7">
        <f>IF(D424="common",0,IF(D424="rare",1,IF(D424="epic",2,IF(D424="legendary",3,4))))</f>
        <v/>
      </c>
    </row>
    <row r="425">
      <c r="A425" s="7">
        <f>LOWER(Characters!$Q86)&amp;"-s1-legendary"</f>
        <v/>
      </c>
      <c r="B425" s="7">
        <f>Characters!$Q86</f>
        <v/>
      </c>
      <c r="C425" s="7" t="inlineStr">
        <is>
          <t>S1</t>
        </is>
      </c>
      <c r="D425" s="7" t="inlineStr">
        <is>
          <t>legendary</t>
        </is>
      </c>
      <c r="E425" s="7">
        <f>Characters!$S86-"&amp;Characters!$Q86-"&amp;UPPER(LEFT("legendary",1))</f>
        <v/>
      </c>
      <c r="F425" s="7">
        <f>IF(D425="legendary",1000,IF(D425="secret",100,""))</f>
        <v/>
      </c>
      <c r="G425" s="7" t="n">
        <v>0</v>
      </c>
      <c r="H425" s="7">
        <f>IF(D425="common",0,IF(D425="rare",1,IF(D425="epic",2,IF(D425="legendary",3,4))))</f>
        <v/>
      </c>
    </row>
    <row r="426">
      <c r="A426" s="7">
        <f>LOWER(Characters!$Q86)&amp;"-s1-secret"</f>
        <v/>
      </c>
      <c r="B426" s="7">
        <f>Characters!$Q86</f>
        <v/>
      </c>
      <c r="C426" s="7" t="inlineStr">
        <is>
          <t>S1</t>
        </is>
      </c>
      <c r="D426" s="7" t="inlineStr">
        <is>
          <t>secret</t>
        </is>
      </c>
      <c r="E426" s="7">
        <f>Characters!$S86-"&amp;Characters!$Q86-"&amp;UPPER(LEFT("secret",1))</f>
        <v/>
      </c>
      <c r="F426" s="7">
        <f>IF(D426="legendary",1000,IF(D426="secret",100,""))</f>
        <v/>
      </c>
      <c r="G426" s="7" t="n">
        <v>0</v>
      </c>
      <c r="H426" s="7">
        <f>IF(D426="common",0,IF(D426="rare",1,IF(D426="epic",2,IF(D426="legendary",3,4))))</f>
        <v/>
      </c>
    </row>
    <row r="427">
      <c r="A427" s="7">
        <f>LOWER(Characters!$Q87)&amp;"-s1-common"</f>
        <v/>
      </c>
      <c r="B427" s="7">
        <f>Characters!$Q87</f>
        <v/>
      </c>
      <c r="C427" s="7" t="inlineStr">
        <is>
          <t>S1</t>
        </is>
      </c>
      <c r="D427" s="7" t="inlineStr">
        <is>
          <t>common</t>
        </is>
      </c>
      <c r="E427" s="7">
        <f>Characters!$S87-"&amp;Characters!$Q87-"&amp;UPPER(LEFT("common",1))</f>
        <v/>
      </c>
      <c r="F427" s="7">
        <f>IF(D427="legendary",1000,IF(D427="secret",100,""))</f>
        <v/>
      </c>
      <c r="G427" s="7" t="n">
        <v>0</v>
      </c>
      <c r="H427" s="7">
        <f>IF(D427="common",0,IF(D427="rare",1,IF(D427="epic",2,IF(D427="legendary",3,4))))</f>
        <v/>
      </c>
    </row>
    <row r="428">
      <c r="A428" s="7">
        <f>LOWER(Characters!$Q87)&amp;"-s1-rare"</f>
        <v/>
      </c>
      <c r="B428" s="7">
        <f>Characters!$Q87</f>
        <v/>
      </c>
      <c r="C428" s="7" t="inlineStr">
        <is>
          <t>S1</t>
        </is>
      </c>
      <c r="D428" s="7" t="inlineStr">
        <is>
          <t>rare</t>
        </is>
      </c>
      <c r="E428" s="7">
        <f>Characters!$S87-"&amp;Characters!$Q87-"&amp;UPPER(LEFT("rare",1))</f>
        <v/>
      </c>
      <c r="F428" s="7">
        <f>IF(D428="legendary",1000,IF(D428="secret",100,""))</f>
        <v/>
      </c>
      <c r="G428" s="7" t="n">
        <v>0</v>
      </c>
      <c r="H428" s="7">
        <f>IF(D428="common",0,IF(D428="rare",1,IF(D428="epic",2,IF(D428="legendary",3,4))))</f>
        <v/>
      </c>
    </row>
    <row r="429">
      <c r="A429" s="7">
        <f>LOWER(Characters!$Q87)&amp;"-s1-epic"</f>
        <v/>
      </c>
      <c r="B429" s="7">
        <f>Characters!$Q87</f>
        <v/>
      </c>
      <c r="C429" s="7" t="inlineStr">
        <is>
          <t>S1</t>
        </is>
      </c>
      <c r="D429" s="7" t="inlineStr">
        <is>
          <t>epic</t>
        </is>
      </c>
      <c r="E429" s="7">
        <f>Characters!$S87-"&amp;Characters!$Q87-"&amp;UPPER(LEFT("epic",1))</f>
        <v/>
      </c>
      <c r="F429" s="7">
        <f>IF(D429="legendary",1000,IF(D429="secret",100,""))</f>
        <v/>
      </c>
      <c r="G429" s="7" t="n">
        <v>0</v>
      </c>
      <c r="H429" s="7">
        <f>IF(D429="common",0,IF(D429="rare",1,IF(D429="epic",2,IF(D429="legendary",3,4))))</f>
        <v/>
      </c>
    </row>
    <row r="430">
      <c r="A430" s="7">
        <f>LOWER(Characters!$Q87)&amp;"-s1-legendary"</f>
        <v/>
      </c>
      <c r="B430" s="7">
        <f>Characters!$Q87</f>
        <v/>
      </c>
      <c r="C430" s="7" t="inlineStr">
        <is>
          <t>S1</t>
        </is>
      </c>
      <c r="D430" s="7" t="inlineStr">
        <is>
          <t>legendary</t>
        </is>
      </c>
      <c r="E430" s="7">
        <f>Characters!$S87-"&amp;Characters!$Q87-"&amp;UPPER(LEFT("legendary",1))</f>
        <v/>
      </c>
      <c r="F430" s="7">
        <f>IF(D430="legendary",1000,IF(D430="secret",100,""))</f>
        <v/>
      </c>
      <c r="G430" s="7" t="n">
        <v>0</v>
      </c>
      <c r="H430" s="7">
        <f>IF(D430="common",0,IF(D430="rare",1,IF(D430="epic",2,IF(D430="legendary",3,4))))</f>
        <v/>
      </c>
    </row>
    <row r="431">
      <c r="A431" s="7">
        <f>LOWER(Characters!$Q87)&amp;"-s1-secret"</f>
        <v/>
      </c>
      <c r="B431" s="7">
        <f>Characters!$Q87</f>
        <v/>
      </c>
      <c r="C431" s="7" t="inlineStr">
        <is>
          <t>S1</t>
        </is>
      </c>
      <c r="D431" s="7" t="inlineStr">
        <is>
          <t>secret</t>
        </is>
      </c>
      <c r="E431" s="7">
        <f>Characters!$S87-"&amp;Characters!$Q87-"&amp;UPPER(LEFT("secret",1))</f>
        <v/>
      </c>
      <c r="F431" s="7">
        <f>IF(D431="legendary",1000,IF(D431="secret",100,""))</f>
        <v/>
      </c>
      <c r="G431" s="7" t="n">
        <v>0</v>
      </c>
      <c r="H431" s="7">
        <f>IF(D431="common",0,IF(D431="rare",1,IF(D431="epic",2,IF(D431="legendary",3,4))))</f>
        <v/>
      </c>
    </row>
    <row r="432">
      <c r="A432" s="7">
        <f>LOWER(Characters!$Q88)&amp;"-s1-common"</f>
        <v/>
      </c>
      <c r="B432" s="7">
        <f>Characters!$Q88</f>
        <v/>
      </c>
      <c r="C432" s="7" t="inlineStr">
        <is>
          <t>S1</t>
        </is>
      </c>
      <c r="D432" s="7" t="inlineStr">
        <is>
          <t>common</t>
        </is>
      </c>
      <c r="E432" s="7">
        <f>Characters!$S88-"&amp;Characters!$Q88-"&amp;UPPER(LEFT("common",1))</f>
        <v/>
      </c>
      <c r="F432" s="7">
        <f>IF(D432="legendary",1000,IF(D432="secret",100,""))</f>
        <v/>
      </c>
      <c r="G432" s="7" t="n">
        <v>0</v>
      </c>
      <c r="H432" s="7">
        <f>IF(D432="common",0,IF(D432="rare",1,IF(D432="epic",2,IF(D432="legendary",3,4))))</f>
        <v/>
      </c>
    </row>
    <row r="433">
      <c r="A433" s="7">
        <f>LOWER(Characters!$Q88)&amp;"-s1-rare"</f>
        <v/>
      </c>
      <c r="B433" s="7">
        <f>Characters!$Q88</f>
        <v/>
      </c>
      <c r="C433" s="7" t="inlineStr">
        <is>
          <t>S1</t>
        </is>
      </c>
      <c r="D433" s="7" t="inlineStr">
        <is>
          <t>rare</t>
        </is>
      </c>
      <c r="E433" s="7">
        <f>Characters!$S88-"&amp;Characters!$Q88-"&amp;UPPER(LEFT("rare",1))</f>
        <v/>
      </c>
      <c r="F433" s="7">
        <f>IF(D433="legendary",1000,IF(D433="secret",100,""))</f>
        <v/>
      </c>
      <c r="G433" s="7" t="n">
        <v>0</v>
      </c>
      <c r="H433" s="7">
        <f>IF(D433="common",0,IF(D433="rare",1,IF(D433="epic",2,IF(D433="legendary",3,4))))</f>
        <v/>
      </c>
    </row>
    <row r="434">
      <c r="A434" s="7">
        <f>LOWER(Characters!$Q88)&amp;"-s1-epic"</f>
        <v/>
      </c>
      <c r="B434" s="7">
        <f>Characters!$Q88</f>
        <v/>
      </c>
      <c r="C434" s="7" t="inlineStr">
        <is>
          <t>S1</t>
        </is>
      </c>
      <c r="D434" s="7" t="inlineStr">
        <is>
          <t>epic</t>
        </is>
      </c>
      <c r="E434" s="7">
        <f>Characters!$S88-"&amp;Characters!$Q88-"&amp;UPPER(LEFT("epic",1))</f>
        <v/>
      </c>
      <c r="F434" s="7">
        <f>IF(D434="legendary",1000,IF(D434="secret",100,""))</f>
        <v/>
      </c>
      <c r="G434" s="7" t="n">
        <v>0</v>
      </c>
      <c r="H434" s="7">
        <f>IF(D434="common",0,IF(D434="rare",1,IF(D434="epic",2,IF(D434="legendary",3,4))))</f>
        <v/>
      </c>
    </row>
    <row r="435">
      <c r="A435" s="7">
        <f>LOWER(Characters!$Q88)&amp;"-s1-legendary"</f>
        <v/>
      </c>
      <c r="B435" s="7">
        <f>Characters!$Q88</f>
        <v/>
      </c>
      <c r="C435" s="7" t="inlineStr">
        <is>
          <t>S1</t>
        </is>
      </c>
      <c r="D435" s="7" t="inlineStr">
        <is>
          <t>legendary</t>
        </is>
      </c>
      <c r="E435" s="7">
        <f>Characters!$S88-"&amp;Characters!$Q88-"&amp;UPPER(LEFT("legendary",1))</f>
        <v/>
      </c>
      <c r="F435" s="7">
        <f>IF(D435="legendary",1000,IF(D435="secret",100,""))</f>
        <v/>
      </c>
      <c r="G435" s="7" t="n">
        <v>0</v>
      </c>
      <c r="H435" s="7">
        <f>IF(D435="common",0,IF(D435="rare",1,IF(D435="epic",2,IF(D435="legendary",3,4))))</f>
        <v/>
      </c>
    </row>
    <row r="436">
      <c r="A436" s="7">
        <f>LOWER(Characters!$Q88)&amp;"-s1-secret"</f>
        <v/>
      </c>
      <c r="B436" s="7">
        <f>Characters!$Q88</f>
        <v/>
      </c>
      <c r="C436" s="7" t="inlineStr">
        <is>
          <t>S1</t>
        </is>
      </c>
      <c r="D436" s="7" t="inlineStr">
        <is>
          <t>secret</t>
        </is>
      </c>
      <c r="E436" s="7">
        <f>Characters!$S88-"&amp;Characters!$Q88-"&amp;UPPER(LEFT("secret",1))</f>
        <v/>
      </c>
      <c r="F436" s="7">
        <f>IF(D436="legendary",1000,IF(D436="secret",100,""))</f>
        <v/>
      </c>
      <c r="G436" s="7" t="n">
        <v>0</v>
      </c>
      <c r="H436" s="7">
        <f>IF(D436="common",0,IF(D436="rare",1,IF(D436="epic",2,IF(D436="legendary",3,4))))</f>
        <v/>
      </c>
    </row>
    <row r="437">
      <c r="A437" s="7">
        <f>LOWER(Characters!$Q89)&amp;"-s1-common"</f>
        <v/>
      </c>
      <c r="B437" s="7">
        <f>Characters!$Q89</f>
        <v/>
      </c>
      <c r="C437" s="7" t="inlineStr">
        <is>
          <t>S1</t>
        </is>
      </c>
      <c r="D437" s="7" t="inlineStr">
        <is>
          <t>common</t>
        </is>
      </c>
      <c r="E437" s="7">
        <f>Characters!$S89-"&amp;Characters!$Q89-"&amp;UPPER(LEFT("common",1))</f>
        <v/>
      </c>
      <c r="F437" s="7">
        <f>IF(D437="legendary",1000,IF(D437="secret",100,""))</f>
        <v/>
      </c>
      <c r="G437" s="7" t="n">
        <v>0</v>
      </c>
      <c r="H437" s="7">
        <f>IF(D437="common",0,IF(D437="rare",1,IF(D437="epic",2,IF(D437="legendary",3,4))))</f>
        <v/>
      </c>
    </row>
    <row r="438">
      <c r="A438" s="7">
        <f>LOWER(Characters!$Q89)&amp;"-s1-rare"</f>
        <v/>
      </c>
      <c r="B438" s="7">
        <f>Characters!$Q89</f>
        <v/>
      </c>
      <c r="C438" s="7" t="inlineStr">
        <is>
          <t>S1</t>
        </is>
      </c>
      <c r="D438" s="7" t="inlineStr">
        <is>
          <t>rare</t>
        </is>
      </c>
      <c r="E438" s="7">
        <f>Characters!$S89-"&amp;Characters!$Q89-"&amp;UPPER(LEFT("rare",1))</f>
        <v/>
      </c>
      <c r="F438" s="7">
        <f>IF(D438="legendary",1000,IF(D438="secret",100,""))</f>
        <v/>
      </c>
      <c r="G438" s="7" t="n">
        <v>0</v>
      </c>
      <c r="H438" s="7">
        <f>IF(D438="common",0,IF(D438="rare",1,IF(D438="epic",2,IF(D438="legendary",3,4))))</f>
        <v/>
      </c>
    </row>
    <row r="439">
      <c r="A439" s="7">
        <f>LOWER(Characters!$Q89)&amp;"-s1-epic"</f>
        <v/>
      </c>
      <c r="B439" s="7">
        <f>Characters!$Q89</f>
        <v/>
      </c>
      <c r="C439" s="7" t="inlineStr">
        <is>
          <t>S1</t>
        </is>
      </c>
      <c r="D439" s="7" t="inlineStr">
        <is>
          <t>epic</t>
        </is>
      </c>
      <c r="E439" s="7">
        <f>Characters!$S89-"&amp;Characters!$Q89-"&amp;UPPER(LEFT("epic",1))</f>
        <v/>
      </c>
      <c r="F439" s="7">
        <f>IF(D439="legendary",1000,IF(D439="secret",100,""))</f>
        <v/>
      </c>
      <c r="G439" s="7" t="n">
        <v>0</v>
      </c>
      <c r="H439" s="7">
        <f>IF(D439="common",0,IF(D439="rare",1,IF(D439="epic",2,IF(D439="legendary",3,4))))</f>
        <v/>
      </c>
    </row>
    <row r="440">
      <c r="A440" s="7">
        <f>LOWER(Characters!$Q89)&amp;"-s1-legendary"</f>
        <v/>
      </c>
      <c r="B440" s="7">
        <f>Characters!$Q89</f>
        <v/>
      </c>
      <c r="C440" s="7" t="inlineStr">
        <is>
          <t>S1</t>
        </is>
      </c>
      <c r="D440" s="7" t="inlineStr">
        <is>
          <t>legendary</t>
        </is>
      </c>
      <c r="E440" s="7">
        <f>Characters!$S89-"&amp;Characters!$Q89-"&amp;UPPER(LEFT("legendary",1))</f>
        <v/>
      </c>
      <c r="F440" s="7">
        <f>IF(D440="legendary",1000,IF(D440="secret",100,""))</f>
        <v/>
      </c>
      <c r="G440" s="7" t="n">
        <v>0</v>
      </c>
      <c r="H440" s="7">
        <f>IF(D440="common",0,IF(D440="rare",1,IF(D440="epic",2,IF(D440="legendary",3,4))))</f>
        <v/>
      </c>
    </row>
    <row r="441">
      <c r="A441" s="7">
        <f>LOWER(Characters!$Q89)&amp;"-s1-secret"</f>
        <v/>
      </c>
      <c r="B441" s="7">
        <f>Characters!$Q89</f>
        <v/>
      </c>
      <c r="C441" s="7" t="inlineStr">
        <is>
          <t>S1</t>
        </is>
      </c>
      <c r="D441" s="7" t="inlineStr">
        <is>
          <t>secret</t>
        </is>
      </c>
      <c r="E441" s="7">
        <f>Characters!$S89-"&amp;Characters!$Q89-"&amp;UPPER(LEFT("secret",1))</f>
        <v/>
      </c>
      <c r="F441" s="7">
        <f>IF(D441="legendary",1000,IF(D441="secret",100,""))</f>
        <v/>
      </c>
      <c r="G441" s="7" t="n">
        <v>0</v>
      </c>
      <c r="H441" s="7">
        <f>IF(D441="common",0,IF(D441="rare",1,IF(D441="epic",2,IF(D441="legendary",3,4))))</f>
        <v/>
      </c>
    </row>
  </sheetData>
  <dataValidations count="1">
    <dataValidation sqref="D2:D441" showDropDown="0" showInputMessage="0" showErrorMessage="0" allowBlank="1" type="list">
      <formula1>"common,rare,epic,legendary,secret"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9" customWidth="1" min="3" max="3"/>
    <col width="13" customWidth="1" min="4" max="4"/>
    <col width="11" customWidth="1" min="5" max="5"/>
    <col width="10" customWidth="1" min="6" max="6"/>
    <col width="9" customWidth="1" min="7" max="7"/>
    <col width="9" customWidth="1" min="8" max="8"/>
    <col width="12" customWidth="1" min="9" max="9"/>
    <col width="9" customWidth="1" min="10" max="10"/>
    <col width="28" customWidth="1" min="11" max="11"/>
  </cols>
  <sheetData>
    <row r="1">
      <c r="A1" s="1" t="inlineStr">
        <is>
          <t>packCode</t>
        </is>
      </c>
      <c r="B1" s="1" t="inlineStr">
        <is>
          <t>name</t>
        </is>
      </c>
      <c r="C1" s="1" t="inlineStr">
        <is>
          <t>edition</t>
        </is>
      </c>
      <c r="D1" s="1" t="inlineStr">
        <is>
          <t>costTickets</t>
        </is>
      </c>
      <c r="E1" s="1" t="inlineStr">
        <is>
          <t>costGems</t>
        </is>
      </c>
      <c r="F1" s="1" t="inlineStr">
        <is>
          <t>common%</t>
        </is>
      </c>
      <c r="G1" s="1" t="inlineStr">
        <is>
          <t>rare%</t>
        </is>
      </c>
      <c r="H1" s="1" t="inlineStr">
        <is>
          <t>epic%</t>
        </is>
      </c>
      <c r="I1" s="1" t="inlineStr">
        <is>
          <t>legendary%</t>
        </is>
      </c>
      <c r="J1" s="1" t="inlineStr">
        <is>
          <t>secret%</t>
        </is>
      </c>
      <c r="K1" s="1" t="inlineStr">
        <is>
          <t>tags</t>
        </is>
      </c>
    </row>
    <row r="2">
      <c r="A2" t="inlineStr">
        <is>
          <t>STANDARD</t>
        </is>
      </c>
      <c r="B2" t="inlineStr">
        <is>
          <t>Standard Pack</t>
        </is>
      </c>
      <c r="C2" t="inlineStr">
        <is>
          <t>S1</t>
        </is>
      </c>
      <c r="D2" t="n">
        <v>1</v>
      </c>
      <c r="E2" t="n">
        <v>350</v>
      </c>
      <c r="F2" t="n">
        <v>50</v>
      </c>
      <c r="G2" t="n">
        <v>30</v>
      </c>
      <c r="H2" t="n">
        <v>14</v>
      </c>
      <c r="I2" t="n">
        <v>5</v>
      </c>
      <c r="J2" t="n">
        <v>1</v>
      </c>
      <c r="K2" t="inlineStr">
        <is>
          <t>x5 cards,Standard odds</t>
        </is>
      </c>
    </row>
    <row r="3">
      <c r="A3" t="inlineStr">
        <is>
          <t>PREMIUM</t>
        </is>
      </c>
      <c r="B3" t="inlineStr">
        <is>
          <t>Premium Pack</t>
        </is>
      </c>
      <c r="C3" t="inlineStr">
        <is>
          <t>S1</t>
        </is>
      </c>
      <c r="D3" t="inlineStr"/>
      <c r="E3" t="n">
        <v>650</v>
      </c>
      <c r="F3" t="n">
        <v>33</v>
      </c>
      <c r="G3" t="n">
        <v>32</v>
      </c>
      <c r="H3" t="n">
        <v>20</v>
      </c>
      <c r="I3" t="n">
        <v>12</v>
      </c>
      <c r="J3" t="n">
        <v>3</v>
      </c>
      <c r="K3" t="inlineStr">
        <is>
          <t>x5 cards,Boosted odds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cols>
    <col width="34" customWidth="1" min="1" max="1"/>
    <col width="78" customWidth="1" min="2" max="2"/>
  </cols>
  <sheetData>
    <row r="1">
      <c r="A1" s="8" t="inlineStr">
        <is>
          <t>NATIONS → prefix (refCode)</t>
        </is>
      </c>
    </row>
    <row r="2">
      <c r="A2" t="inlineStr">
        <is>
          <t>france</t>
        </is>
      </c>
      <c r="B2" t="inlineStr">
        <is>
          <t>FR</t>
        </is>
      </c>
    </row>
    <row r="3">
      <c r="A3" t="inlineStr">
        <is>
          <t>allemagne</t>
        </is>
      </c>
      <c r="B3" t="inlineStr">
        <is>
          <t>DE</t>
        </is>
      </c>
    </row>
    <row r="4">
      <c r="A4" t="inlineStr">
        <is>
          <t>angleterre</t>
        </is>
      </c>
      <c r="B4" t="inlineStr">
        <is>
          <t>GB</t>
        </is>
      </c>
    </row>
    <row r="5">
      <c r="A5" t="inlineStr">
        <is>
          <t>italie</t>
        </is>
      </c>
      <c r="B5" t="inlineStr">
        <is>
          <t>IT</t>
        </is>
      </c>
    </row>
    <row r="6">
      <c r="A6" t="inlineStr">
        <is>
          <t>espagne</t>
        </is>
      </c>
      <c r="B6" t="inlineStr">
        <is>
          <t>ES</t>
        </is>
      </c>
    </row>
    <row r="7">
      <c r="A7" t="inlineStr">
        <is>
          <t>bresil</t>
        </is>
      </c>
      <c r="B7" t="inlineStr">
        <is>
          <t>BR</t>
        </is>
      </c>
    </row>
    <row r="8">
      <c r="A8" t="inlineStr">
        <is>
          <t>japon</t>
        </is>
      </c>
      <c r="B8" t="inlineStr">
        <is>
          <t>JP</t>
        </is>
      </c>
    </row>
    <row r="9">
      <c r="A9" t="inlineStr">
        <is>
          <t>argentine</t>
        </is>
      </c>
      <c r="B9" t="inlineStr">
        <is>
          <t>AR</t>
        </is>
      </c>
    </row>
    <row r="11">
      <c r="A11" s="8" t="inlineStr">
        <is>
          <t>POSTES NATURELS (12) — SS = RÔLE</t>
        </is>
      </c>
    </row>
    <row r="12">
      <c r="A12" t="inlineStr">
        <is>
          <t>GK/RB/LB/CB/CDM/CM/CAM/LM/RM/LW/RW/ST</t>
        </is>
      </c>
      <c r="B12" t="inlineStr">
        <is>
          <t>12 cases FM</t>
        </is>
      </c>
    </row>
    <row r="13">
      <c r="A13" t="inlineStr">
        <is>
          <t>SS</t>
        </is>
      </c>
      <c r="B13" t="inlineStr">
        <is>
          <t>RÔLE (second_striker), pas une position. Mettre dans col role.</t>
        </is>
      </c>
    </row>
    <row r="15">
      <c r="A15" s="8" t="inlineStr">
        <is>
          <t>ARCHETYPES → STATS (PROFIL, pas boost OVR)</t>
        </is>
      </c>
    </row>
    <row r="16">
      <c r="A16" t="inlineStr">
        <is>
          <t>Principe</t>
        </is>
      </c>
      <c r="B16" t="inlineStr">
        <is>
          <t>base OVR fixe (capée 93). Les archetypes RÉPARTISSENT le budget : montent les stats du profil, baissent d'autres. Stacker 3 archetypes = carte PLUS SPÉCIALISÉE, pas plus forte.</t>
        </is>
      </c>
    </row>
    <row r="17">
      <c r="A17" t="inlineStr">
        <is>
          <t>vitesse</t>
        </is>
      </c>
      <c r="B17" t="inlineStr">
        <is>
          <t>Vitesse/Accélération/Agilité/Détente ↑ | autres ↓</t>
        </is>
      </c>
    </row>
    <row r="18">
      <c r="A18" t="inlineStr">
        <is>
          <t>rugueux</t>
        </is>
      </c>
      <c r="B18" t="inlineStr">
        <is>
          <t>Tacle/Agressivité/Puissance/Positionnement ↑</t>
        </is>
      </c>
    </row>
    <row r="19">
      <c r="A19" t="inlineStr">
        <is>
          <t>finition</t>
        </is>
      </c>
      <c r="B19" t="inlineStr">
        <is>
          <t>Tir/Détente/Technique/Sang-Froid ↑</t>
        </is>
      </c>
    </row>
    <row r="20">
      <c r="A20" t="inlineStr">
        <is>
          <t>tete</t>
        </is>
      </c>
      <c r="B20" t="inlineStr">
        <is>
          <t>Détente/Puissance/Centre/Agressivité ↑</t>
        </is>
      </c>
    </row>
    <row r="21">
      <c r="A21" t="inlineStr">
        <is>
          <t>vision</t>
        </is>
      </c>
      <c r="B21" t="inlineStr">
        <is>
          <t>Passe/Décision/Technique/Anticipation ↑</t>
        </is>
      </c>
    </row>
    <row r="22">
      <c r="A22" t="inlineStr">
        <is>
          <t>creatif</t>
        </is>
      </c>
      <c r="B22" t="inlineStr">
        <is>
          <t>Dribble/Technique/Centre/Passe ↑</t>
        </is>
      </c>
    </row>
    <row r="23">
      <c r="A23" t="inlineStr">
        <is>
          <t>pressing</t>
        </is>
      </c>
      <c r="B23" t="inlineStr">
        <is>
          <t>Endurance/Positionnement/Tacle/Agressivité ↑</t>
        </is>
      </c>
    </row>
    <row r="24">
      <c r="A24" t="inlineStr">
        <is>
          <t>aerien</t>
        </is>
      </c>
      <c r="B24" t="inlineStr">
        <is>
          <t>Détente/AerialReach/Puissance ↑ (GK)</t>
        </is>
      </c>
    </row>
    <row r="25">
      <c r="A25" t="inlineStr">
        <is>
          <t>mur</t>
        </is>
      </c>
      <c r="B25" t="inlineStr">
        <is>
          <t>Tacle/Positionnement/Puissance/Anticipation ↑</t>
        </is>
      </c>
    </row>
    <row r="26">
      <c r="A26" t="inlineStr">
        <is>
          <t>box2box</t>
        </is>
      </c>
      <c r="B26" t="inlineStr">
        <is>
          <t>Endurance/Positionnement/Passe/Tacle ↑</t>
        </is>
      </c>
    </row>
    <row r="27">
      <c r="A27" t="inlineStr">
        <is>
          <t>regista</t>
        </is>
      </c>
      <c r="B27" t="inlineStr">
        <is>
          <t>Passe/Décision/Technique/Anticipation ↑</t>
        </is>
      </c>
    </row>
    <row r="28">
      <c r="A28" t="inlineStr">
        <is>
          <t>trequarti</t>
        </is>
      </c>
      <c r="B28" t="inlineStr">
        <is>
          <t>Dribble/Passe/Tir ↑</t>
        </is>
      </c>
    </row>
    <row r="29">
      <c r="A29" t="inlineStr">
        <is>
          <t>fullback</t>
        </is>
      </c>
      <c r="B29" t="inlineStr">
        <is>
          <t>Centre/Endurance/Vitesse/Tacle ↑</t>
        </is>
      </c>
    </row>
    <row r="30">
      <c r="A30" t="inlineStr">
        <is>
          <t>sniper</t>
        </is>
      </c>
      <c r="B30" t="inlineStr">
        <is>
          <t>Tir/Puissance/Sang-Froid/Technique ↑</t>
        </is>
      </c>
    </row>
    <row r="31">
      <c r="A31" t="inlineStr">
        <is>
          <t>phenomene</t>
        </is>
      </c>
      <c r="B31" t="inlineStr">
        <is>
          <t>Agilité/Dribble/Accélération/Vitesse ↑</t>
        </is>
      </c>
    </row>
    <row r="32">
      <c r="A32" t="inlineStr">
        <is>
          <t>patron</t>
        </is>
      </c>
      <c r="B32" t="inlineStr">
        <is>
          <t>Leadership/Positionnement/Puissance/Sang-Froid ↑</t>
        </is>
      </c>
    </row>
    <row r="33">
      <c r="A33" t="inlineStr">
        <is>
          <t>gardien</t>
        </is>
      </c>
      <c r="B33" t="inlineStr">
        <is>
          <t>Réflexes/Handling/AerialReach/CommandArea ↑ (GK)</t>
        </is>
      </c>
    </row>
    <row r="34">
      <c r="A34" t="inlineStr">
        <is>
          <t>sweeper</t>
        </is>
      </c>
      <c r="B34" t="inlineStr">
        <is>
          <t>RushingOut/Réflexes/Agilité/Anticipation ↑ (GK)</t>
        </is>
      </c>
    </row>
    <row r="36">
      <c r="A36" s="8" t="inlineStr">
        <is>
          <t>STYLES (5, LIBRE, roue RPS)</t>
        </is>
      </c>
    </row>
    <row r="37">
      <c r="A37" t="inlineStr">
        <is>
          <t>percussion</t>
        </is>
      </c>
      <c r="B37" t="inlineStr">
        <is>
          <t>BAT Sang-froid</t>
        </is>
      </c>
    </row>
    <row r="38">
      <c r="A38" t="inlineStr">
        <is>
          <t>vista</t>
        </is>
      </c>
      <c r="B38" t="inlineStr">
        <is>
          <t>BAT Pressing</t>
        </is>
      </c>
    </row>
    <row r="39">
      <c r="A39" t="inlineStr">
        <is>
          <t>pressing</t>
        </is>
      </c>
      <c r="B39" t="inlineStr">
        <is>
          <t>BAT Élévation</t>
        </is>
      </c>
    </row>
    <row r="40">
      <c r="A40" t="inlineStr">
        <is>
          <t>elevation</t>
        </is>
      </c>
      <c r="B40" t="inlineStr">
        <is>
          <t>BAT Sang-froid</t>
        </is>
      </c>
    </row>
    <row r="41">
      <c r="A41" t="inlineStr">
        <is>
          <t>sangFroid</t>
        </is>
      </c>
      <c r="B41" t="inlineStr">
        <is>
          <t>BAT Percussion</t>
        </is>
      </c>
    </row>
    <row r="43">
      <c r="A43" s="8" t="inlineStr">
        <is>
          <t>RARETÉ → FRAC + SKILLS (Système B)</t>
        </is>
      </c>
    </row>
    <row r="44">
      <c r="A44" t="inlineStr">
        <is>
          <t>common</t>
        </is>
      </c>
      <c r="B44" t="inlineStr">
        <is>
          <t>frac 0.78 | 0 skill slot</t>
        </is>
      </c>
    </row>
    <row r="45">
      <c r="A45" t="inlineStr">
        <is>
          <t>rare</t>
        </is>
      </c>
      <c r="B45" t="inlineStr">
        <is>
          <t>frac 0.85 | 1 slot</t>
        </is>
      </c>
    </row>
    <row r="46">
      <c r="A46" t="inlineStr">
        <is>
          <t>epic</t>
        </is>
      </c>
      <c r="B46" t="inlineStr">
        <is>
          <t>frac 0.91 | 2 slots</t>
        </is>
      </c>
    </row>
    <row r="47">
      <c r="A47" t="inlineStr">
        <is>
          <t>legendary</t>
        </is>
      </c>
      <c r="B47" t="inlineStr">
        <is>
          <t>frac 1.00 (= base) | 3 slots</t>
        </is>
      </c>
    </row>
    <row r="48">
      <c r="A48" t="inlineStr">
        <is>
          <t>secret</t>
        </is>
      </c>
      <c r="B48" t="inlineStr">
        <is>
          <t>frac 1.12 | 4 slots DONT 1 SIGNATURE (arme mythique, perso signature=oui)</t>
        </is>
      </c>
    </row>
    <row r="49">
      <c r="A49" t="inlineStr">
        <is>
          <t>OVR</t>
        </is>
      </c>
      <c r="B49" t="inlineStr">
        <is>
          <t>min(99, round(base × frac + jitter ±3)). Base capée 93.</t>
        </is>
      </c>
    </row>
    <row r="51">
      <c r="A51" s="8" t="inlineStr">
        <is>
          <t>MALUS HORS-POSTE (Option A, FM-style)</t>
        </is>
      </c>
    </row>
    <row r="52">
      <c r="A52" t="inlineStr">
        <is>
          <t>Naturel (vert)</t>
        </is>
      </c>
      <c r="B52" t="inlineStr">
        <is>
          <t>0%</t>
        </is>
      </c>
    </row>
    <row r="53">
      <c r="A53" t="inlineStr">
        <is>
          <t>Secondaire (orange)</t>
        </is>
      </c>
      <c r="B53" t="inlineStr">
        <is>
          <t>~-8% sur stats différentielles</t>
        </is>
      </c>
    </row>
    <row r="54">
      <c r="A54" t="inlineStr">
        <is>
          <t>Hors postes (rouge)</t>
        </is>
      </c>
      <c r="B54" t="inlineStr">
        <is>
          <t>~-25% sur stats différentielles (type B)</t>
        </is>
      </c>
    </row>
    <row r="56">
      <c r="A56" s="8" t="inlineStr">
        <is>
          <t>GAMEPLAY EXTRA (Characters)</t>
        </is>
      </c>
    </row>
    <row r="57">
      <c r="A57" t="inlineStr">
        <is>
          <t>pied (right/left/both)</t>
        </is>
      </c>
      <c r="B57" t="inlineStr">
        <is>
          <t>Influence Tir/Centre côté faible + moteur</t>
        </is>
      </c>
    </row>
    <row r="58">
      <c r="A58" t="inlineStr">
        <is>
          <t>taille (cm)</t>
        </is>
      </c>
      <c r="B58" t="inlineStr">
        <is>
          <t>Détente / AerialReach (jeu de tête)</t>
        </is>
      </c>
    </row>
    <row r="59">
      <c r="A59" t="inlineStr">
        <is>
          <t>poids (kg)</t>
        </is>
      </c>
      <c r="B59" t="inlineStr">
        <is>
          <t>Puissance / Agilité</t>
        </is>
      </c>
    </row>
    <row r="61">
      <c r="A61" s="8" t="inlineStr">
        <is>
          <t>NOTE CODE (décalage vs ce master)</t>
        </is>
      </c>
    </row>
    <row r="62">
      <c r="A62" t="inlineStr">
        <is>
          <t>footballCards.ts</t>
        </is>
      </c>
      <c r="B62" t="inlineStr">
        <is>
          <t>defaultPosition = 4 blocs — À MIGRER vers 12 postes + role + 2 secondaires</t>
        </is>
      </c>
    </row>
    <row r="63">
      <c r="A63" t="inlineStr">
        <is>
          <t>footballCards.ts</t>
        </is>
      </c>
      <c r="B63" t="inlineStr">
        <is>
          <t>defaultStyle = 1 seul — À MIGRER vers style libre + archetypes</t>
        </is>
      </c>
    </row>
    <row r="64">
      <c r="A64" t="inlineStr">
        <is>
          <t>pack/open/route.ts</t>
        </is>
      </c>
      <c r="B64" t="inlineStr">
        <is>
          <t>serial cosmétique (au-delà cap -&gt; null, carte drop quand même). Pas d'annulation/remboursement.</t>
        </is>
      </c>
    </row>
    <row r="65">
      <c r="A65" t="inlineStr">
        <is>
          <t>Générateur</t>
        </is>
      </c>
      <c r="B65" t="inlineStr">
        <is>
          <t>base × frac + jitter + redistrib archetypes + pied/taille/poids + malus NON dans le repo — À porter depuis la sim.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2026-07-23T17:55:11Z</dcterms:created>
  <dcterms:modified xmlns:dcterms="http://purl.org/dc/terms/" xmlns:xsi="http://www.w3.org/2001/XMLSchema-instance" xsi:type="dcterms:W3CDTF">2026-07-23T17:55:11Z</dcterms:modified>
</cp:coreProperties>
</file>